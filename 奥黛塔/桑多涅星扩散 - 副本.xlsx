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CHREVO\Desktop\7,0版本\"/>
    </mc:Choice>
  </mc:AlternateContent>
  <xr:revisionPtr revIDLastSave="0" documentId="13_ncr:1_{3622A664-0D14-4ECD-BEE5-55FDA47FFEFB}" xr6:coauthVersionLast="47" xr6:coauthVersionMax="47" xr10:uidLastSave="{00000000-0000-0000-0000-000000000000}"/>
  <workbookProtection workbookAlgorithmName="SHA-512" workbookHashValue="JoSdGZjzInFMmygMreBKtaOkUJUhql3V/rOu6wV7m6n7mki6undk6fdNTL7QRKxG2PIsT4Kt9eklqUOdSsLKeQ==" workbookSaltValue="nl8BnThvDTtPbWBUgKiQ6A==" workbookSpinCount="100000" lockStructure="1"/>
  <bookViews>
    <workbookView xWindow="-110" yWindow="-110" windowWidth="25820" windowHeight="14620" activeTab="1" xr2:uid="{00000000-000D-0000-FFFF-FFFF00000000}"/>
  </bookViews>
  <sheets>
    <sheet name="总表" sheetId="11" r:id="rId1"/>
    <sheet name="0＋1桑0奥" sheetId="2" r:id="rId2"/>
    <sheet name="1+1桑0奥" sheetId="4" r:id="rId3"/>
    <sheet name="2+1桑0奥 " sheetId="5" r:id="rId4"/>
    <sheet name="3+1桑0奥 " sheetId="6" r:id="rId5"/>
    <sheet name="4+1桑0奥 " sheetId="7" r:id="rId6"/>
    <sheet name="5+1桑0奥 " sheetId="8" r:id="rId7"/>
    <sheet name="6+1桑0奥  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1" l="1"/>
  <c r="H15" i="11"/>
  <c r="G15" i="11"/>
  <c r="I14" i="11"/>
  <c r="H14" i="11"/>
  <c r="G14" i="11"/>
  <c r="I13" i="11"/>
  <c r="H13" i="11"/>
  <c r="G13" i="11"/>
  <c r="I12" i="11"/>
  <c r="H12" i="11"/>
  <c r="G12" i="11"/>
  <c r="G214" i="10"/>
  <c r="G213" i="10"/>
  <c r="G212" i="10"/>
  <c r="G207" i="10"/>
  <c r="G206" i="10"/>
  <c r="G205" i="10"/>
  <c r="G204" i="10"/>
  <c r="G198" i="10"/>
  <c r="G199" i="10"/>
  <c r="K199" i="10" s="1"/>
  <c r="U199" i="10" s="1"/>
  <c r="G200" i="10"/>
  <c r="G201" i="10"/>
  <c r="G197" i="10"/>
  <c r="G192" i="10"/>
  <c r="G193" i="10"/>
  <c r="K193" i="10" s="1"/>
  <c r="U193" i="10" s="1"/>
  <c r="G194" i="10"/>
  <c r="K194" i="10" s="1"/>
  <c r="U194" i="10" s="1"/>
  <c r="G195" i="10"/>
  <c r="K195" i="10" s="1"/>
  <c r="U195" i="10" s="1"/>
  <c r="G196" i="10"/>
  <c r="G191" i="10"/>
  <c r="G176" i="10"/>
  <c r="G177" i="10"/>
  <c r="G178" i="10"/>
  <c r="G179" i="10"/>
  <c r="G180" i="10"/>
  <c r="K180" i="10" s="1"/>
  <c r="U180" i="10" s="1"/>
  <c r="G181" i="10"/>
  <c r="G182" i="10"/>
  <c r="K182" i="10" s="1"/>
  <c r="U182" i="10" s="1"/>
  <c r="G183" i="10"/>
  <c r="K183" i="10" s="1"/>
  <c r="U183" i="10" s="1"/>
  <c r="G184" i="10"/>
  <c r="K184" i="10" s="1"/>
  <c r="U184" i="10" s="1"/>
  <c r="G185" i="10"/>
  <c r="G186" i="10"/>
  <c r="G187" i="10"/>
  <c r="G188" i="10"/>
  <c r="K188" i="10" s="1"/>
  <c r="U188" i="10" s="1"/>
  <c r="G189" i="10"/>
  <c r="G190" i="10"/>
  <c r="K190" i="10" s="1"/>
  <c r="U190" i="10" s="1"/>
  <c r="G175" i="10"/>
  <c r="O251" i="10"/>
  <c r="L251" i="10"/>
  <c r="S251" i="10" s="1"/>
  <c r="O250" i="10"/>
  <c r="S250" i="10" s="1"/>
  <c r="L250" i="10"/>
  <c r="O249" i="10"/>
  <c r="L249" i="10"/>
  <c r="S249" i="10" s="1"/>
  <c r="O248" i="10"/>
  <c r="L248" i="10"/>
  <c r="S248" i="10" s="1"/>
  <c r="O245" i="10"/>
  <c r="S245" i="10" s="1"/>
  <c r="L245" i="10"/>
  <c r="O244" i="10"/>
  <c r="L244" i="10"/>
  <c r="S244" i="10" s="1"/>
  <c r="S243" i="10"/>
  <c r="O243" i="10"/>
  <c r="L243" i="10"/>
  <c r="O242" i="10"/>
  <c r="L242" i="10"/>
  <c r="S242" i="10" s="1"/>
  <c r="O239" i="10"/>
  <c r="L239" i="10"/>
  <c r="S239" i="10" s="1"/>
  <c r="O238" i="10"/>
  <c r="L238" i="10"/>
  <c r="S238" i="10" s="1"/>
  <c r="O237" i="10"/>
  <c r="L237" i="10"/>
  <c r="S237" i="10" s="1"/>
  <c r="O236" i="10"/>
  <c r="L236" i="10"/>
  <c r="S236" i="10" s="1"/>
  <c r="T238" i="10" s="1"/>
  <c r="U236" i="10" s="1"/>
  <c r="O233" i="10"/>
  <c r="L233" i="10"/>
  <c r="S233" i="10" s="1"/>
  <c r="O232" i="10"/>
  <c r="S232" i="10" s="1"/>
  <c r="L232" i="10"/>
  <c r="O231" i="10"/>
  <c r="L231" i="10"/>
  <c r="S231" i="10" s="1"/>
  <c r="S230" i="10"/>
  <c r="O230" i="10"/>
  <c r="L230" i="10"/>
  <c r="O226" i="10"/>
  <c r="O225" i="10"/>
  <c r="G225" i="10"/>
  <c r="K225" i="10" s="1"/>
  <c r="Q225" i="10" s="1"/>
  <c r="S225" i="10" s="1"/>
  <c r="R222" i="10"/>
  <c r="N222" i="10"/>
  <c r="U222" i="10" s="1"/>
  <c r="K222" i="10"/>
  <c r="R221" i="10"/>
  <c r="N221" i="10"/>
  <c r="J221" i="10"/>
  <c r="G221" i="10"/>
  <c r="K221" i="10" s="1"/>
  <c r="U221" i="10" s="1"/>
  <c r="R220" i="10"/>
  <c r="N220" i="10"/>
  <c r="J220" i="10"/>
  <c r="G220" i="10"/>
  <c r="K220" i="10" s="1"/>
  <c r="U220" i="10" s="1"/>
  <c r="R219" i="10"/>
  <c r="N219" i="10"/>
  <c r="J219" i="10"/>
  <c r="G219" i="10"/>
  <c r="K219" i="10" s="1"/>
  <c r="U219" i="10" s="1"/>
  <c r="R218" i="10"/>
  <c r="N218" i="10"/>
  <c r="J218" i="10"/>
  <c r="G218" i="10"/>
  <c r="K218" i="10" s="1"/>
  <c r="U218" i="10" s="1"/>
  <c r="R217" i="10"/>
  <c r="N217" i="10"/>
  <c r="J217" i="10"/>
  <c r="G217" i="10"/>
  <c r="K217" i="10" s="1"/>
  <c r="U217" i="10" s="1"/>
  <c r="R216" i="10"/>
  <c r="N216" i="10"/>
  <c r="J216" i="10"/>
  <c r="G216" i="10"/>
  <c r="K216" i="10" s="1"/>
  <c r="U216" i="10" s="1"/>
  <c r="R215" i="10"/>
  <c r="N215" i="10"/>
  <c r="J215" i="10"/>
  <c r="K215" i="10" s="1"/>
  <c r="U215" i="10" s="1"/>
  <c r="G215" i="10"/>
  <c r="R214" i="10"/>
  <c r="N214" i="10"/>
  <c r="K214" i="10"/>
  <c r="U214" i="10" s="1"/>
  <c r="R213" i="10"/>
  <c r="N213" i="10"/>
  <c r="K213" i="10"/>
  <c r="U213" i="10" s="1"/>
  <c r="R212" i="10"/>
  <c r="N212" i="10"/>
  <c r="K212" i="10"/>
  <c r="U212" i="10" s="1"/>
  <c r="O208" i="10"/>
  <c r="O207" i="10"/>
  <c r="O206" i="10"/>
  <c r="K206" i="10"/>
  <c r="Q206" i="10" s="1"/>
  <c r="S206" i="10" s="1"/>
  <c r="O205" i="10"/>
  <c r="K205" i="10"/>
  <c r="Q205" i="10" s="1"/>
  <c r="S205" i="10" s="1"/>
  <c r="O204" i="10"/>
  <c r="K204" i="10"/>
  <c r="Q204" i="10" s="1"/>
  <c r="S204" i="10" s="1"/>
  <c r="R201" i="10"/>
  <c r="N201" i="10"/>
  <c r="K201" i="10"/>
  <c r="U201" i="10" s="1"/>
  <c r="G208" i="10"/>
  <c r="K208" i="10" s="1"/>
  <c r="Q208" i="10" s="1"/>
  <c r="S208" i="10" s="1"/>
  <c r="R200" i="10"/>
  <c r="N200" i="10"/>
  <c r="K200" i="10"/>
  <c r="U200" i="10" s="1"/>
  <c r="R199" i="10"/>
  <c r="N199" i="10"/>
  <c r="R198" i="10"/>
  <c r="N198" i="10"/>
  <c r="K198" i="10"/>
  <c r="U198" i="10" s="1"/>
  <c r="R197" i="10"/>
  <c r="N197" i="10"/>
  <c r="K197" i="10"/>
  <c r="U197" i="10" s="1"/>
  <c r="R196" i="10"/>
  <c r="N196" i="10"/>
  <c r="K196" i="10"/>
  <c r="U196" i="10" s="1"/>
  <c r="R195" i="10"/>
  <c r="N195" i="10"/>
  <c r="R194" i="10"/>
  <c r="N194" i="10"/>
  <c r="R193" i="10"/>
  <c r="N193" i="10"/>
  <c r="R192" i="10"/>
  <c r="N192" i="10"/>
  <c r="K192" i="10"/>
  <c r="U192" i="10" s="1"/>
  <c r="R191" i="10"/>
  <c r="N191" i="10"/>
  <c r="K191" i="10"/>
  <c r="U191" i="10" s="1"/>
  <c r="R190" i="10"/>
  <c r="N190" i="10"/>
  <c r="R189" i="10"/>
  <c r="N189" i="10"/>
  <c r="K189" i="10"/>
  <c r="U189" i="10" s="1"/>
  <c r="R188" i="10"/>
  <c r="N188" i="10"/>
  <c r="R187" i="10"/>
  <c r="N187" i="10"/>
  <c r="K187" i="10"/>
  <c r="U187" i="10" s="1"/>
  <c r="R186" i="10"/>
  <c r="N186" i="10"/>
  <c r="K186" i="10"/>
  <c r="U186" i="10" s="1"/>
  <c r="R185" i="10"/>
  <c r="N185" i="10"/>
  <c r="K185" i="10"/>
  <c r="U185" i="10" s="1"/>
  <c r="R184" i="10"/>
  <c r="N184" i="10"/>
  <c r="R183" i="10"/>
  <c r="N183" i="10"/>
  <c r="R182" i="10"/>
  <c r="N182" i="10"/>
  <c r="R181" i="10"/>
  <c r="N181" i="10"/>
  <c r="K181" i="10"/>
  <c r="U181" i="10" s="1"/>
  <c r="R180" i="10"/>
  <c r="N180" i="10"/>
  <c r="R179" i="10"/>
  <c r="N179" i="10"/>
  <c r="K179" i="10"/>
  <c r="U179" i="10" s="1"/>
  <c r="R178" i="10"/>
  <c r="N178" i="10"/>
  <c r="K178" i="10"/>
  <c r="U178" i="10" s="1"/>
  <c r="R177" i="10"/>
  <c r="N177" i="10"/>
  <c r="K177" i="10"/>
  <c r="U177" i="10" s="1"/>
  <c r="R176" i="10"/>
  <c r="N176" i="10"/>
  <c r="K176" i="10"/>
  <c r="U176" i="10" s="1"/>
  <c r="R175" i="10"/>
  <c r="N175" i="10"/>
  <c r="K175" i="10"/>
  <c r="U175" i="10" s="1"/>
  <c r="J129" i="10"/>
  <c r="K129" i="10"/>
  <c r="N129" i="10"/>
  <c r="R129" i="10"/>
  <c r="U129" i="10"/>
  <c r="O167" i="10"/>
  <c r="L167" i="10"/>
  <c r="S167" i="10" s="1"/>
  <c r="O166" i="10"/>
  <c r="L166" i="10"/>
  <c r="S166" i="10" s="1"/>
  <c r="O165" i="10"/>
  <c r="L165" i="10"/>
  <c r="S165" i="10" s="1"/>
  <c r="O164" i="10"/>
  <c r="L164" i="10"/>
  <c r="S164" i="10" s="1"/>
  <c r="O161" i="10"/>
  <c r="L161" i="10"/>
  <c r="O160" i="10"/>
  <c r="L160" i="10"/>
  <c r="S160" i="10" s="1"/>
  <c r="O159" i="10"/>
  <c r="L159" i="10"/>
  <c r="S159" i="10" s="1"/>
  <c r="O158" i="10"/>
  <c r="L158" i="10"/>
  <c r="O155" i="10"/>
  <c r="L155" i="10"/>
  <c r="O154" i="10"/>
  <c r="L154" i="10"/>
  <c r="O153" i="10"/>
  <c r="L153" i="10"/>
  <c r="O152" i="10"/>
  <c r="L152" i="10"/>
  <c r="S152" i="10" s="1"/>
  <c r="O149" i="10"/>
  <c r="L149" i="10"/>
  <c r="S149" i="10" s="1"/>
  <c r="O148" i="10"/>
  <c r="L148" i="10"/>
  <c r="O147" i="10"/>
  <c r="L147" i="10"/>
  <c r="S147" i="10" s="1"/>
  <c r="O146" i="10"/>
  <c r="L146" i="10"/>
  <c r="O142" i="10"/>
  <c r="O141" i="10"/>
  <c r="G141" i="10"/>
  <c r="K141" i="10" s="1"/>
  <c r="Q141" i="10" s="1"/>
  <c r="S141" i="10" s="1"/>
  <c r="R138" i="10"/>
  <c r="N138" i="10"/>
  <c r="K138" i="10"/>
  <c r="R137" i="10"/>
  <c r="N137" i="10"/>
  <c r="J137" i="10"/>
  <c r="G137" i="10"/>
  <c r="K137" i="10" s="1"/>
  <c r="U137" i="10" s="1"/>
  <c r="R136" i="10"/>
  <c r="N136" i="10"/>
  <c r="J136" i="10"/>
  <c r="G136" i="10"/>
  <c r="K136" i="10" s="1"/>
  <c r="U136" i="10" s="1"/>
  <c r="R135" i="10"/>
  <c r="N135" i="10"/>
  <c r="J135" i="10"/>
  <c r="G135" i="10"/>
  <c r="K135" i="10" s="1"/>
  <c r="U135" i="10" s="1"/>
  <c r="R134" i="10"/>
  <c r="N134" i="10"/>
  <c r="J134" i="10"/>
  <c r="G134" i="10"/>
  <c r="K134" i="10" s="1"/>
  <c r="U134" i="10" s="1"/>
  <c r="R133" i="10"/>
  <c r="N133" i="10"/>
  <c r="J133" i="10"/>
  <c r="G133" i="10"/>
  <c r="K133" i="10" s="1"/>
  <c r="U133" i="10" s="1"/>
  <c r="R132" i="10"/>
  <c r="N132" i="10"/>
  <c r="J132" i="10"/>
  <c r="G132" i="10"/>
  <c r="K132" i="10" s="1"/>
  <c r="U132" i="10" s="1"/>
  <c r="R131" i="10"/>
  <c r="N131" i="10"/>
  <c r="J131" i="10"/>
  <c r="G131" i="10"/>
  <c r="R130" i="10"/>
  <c r="N130" i="10"/>
  <c r="J130" i="10"/>
  <c r="G130" i="10"/>
  <c r="K130" i="10" s="1"/>
  <c r="U130" i="10" s="1"/>
  <c r="R128" i="10"/>
  <c r="N128" i="10"/>
  <c r="J128" i="10"/>
  <c r="K128" i="10" s="1"/>
  <c r="U128" i="10" s="1"/>
  <c r="O124" i="10"/>
  <c r="O123" i="10"/>
  <c r="O122" i="10"/>
  <c r="G122" i="10"/>
  <c r="K122" i="10" s="1"/>
  <c r="Q122" i="10" s="1"/>
  <c r="S122" i="10" s="1"/>
  <c r="O121" i="10"/>
  <c r="K121" i="10"/>
  <c r="Q121" i="10" s="1"/>
  <c r="S121" i="10" s="1"/>
  <c r="G121" i="10"/>
  <c r="O120" i="10"/>
  <c r="G120" i="10"/>
  <c r="K120" i="10" s="1"/>
  <c r="Q120" i="10" s="1"/>
  <c r="S120" i="10" s="1"/>
  <c r="R117" i="10"/>
  <c r="N117" i="10"/>
  <c r="G117" i="10"/>
  <c r="G124" i="10" s="1"/>
  <c r="K124" i="10" s="1"/>
  <c r="R116" i="10"/>
  <c r="N116" i="10"/>
  <c r="G116" i="10"/>
  <c r="K116" i="10" s="1"/>
  <c r="U116" i="10" s="1"/>
  <c r="R115" i="10"/>
  <c r="N115" i="10"/>
  <c r="G115" i="10"/>
  <c r="K115" i="10" s="1"/>
  <c r="U115" i="10" s="1"/>
  <c r="R114" i="10"/>
  <c r="N114" i="10"/>
  <c r="G114" i="10"/>
  <c r="K114" i="10" s="1"/>
  <c r="R113" i="10"/>
  <c r="N113" i="10"/>
  <c r="G113" i="10"/>
  <c r="K113" i="10" s="1"/>
  <c r="R112" i="10"/>
  <c r="N112" i="10"/>
  <c r="G112" i="10"/>
  <c r="K112" i="10" s="1"/>
  <c r="U112" i="10" s="1"/>
  <c r="R111" i="10"/>
  <c r="N111" i="10"/>
  <c r="G111" i="10"/>
  <c r="K111" i="10" s="1"/>
  <c r="U111" i="10" s="1"/>
  <c r="R110" i="10"/>
  <c r="N110" i="10"/>
  <c r="G110" i="10"/>
  <c r="K110" i="10" s="1"/>
  <c r="U110" i="10" s="1"/>
  <c r="R109" i="10"/>
  <c r="N109" i="10"/>
  <c r="G109" i="10"/>
  <c r="K109" i="10" s="1"/>
  <c r="R108" i="10"/>
  <c r="N108" i="10"/>
  <c r="G108" i="10"/>
  <c r="K108" i="10" s="1"/>
  <c r="U108" i="10" s="1"/>
  <c r="R107" i="10"/>
  <c r="N107" i="10"/>
  <c r="G107" i="10"/>
  <c r="G123" i="10" s="1"/>
  <c r="K123" i="10" s="1"/>
  <c r="R106" i="10"/>
  <c r="N106" i="10"/>
  <c r="G106" i="10"/>
  <c r="K106" i="10" s="1"/>
  <c r="U106" i="10" s="1"/>
  <c r="R105" i="10"/>
  <c r="N105" i="10"/>
  <c r="G105" i="10"/>
  <c r="K105" i="10" s="1"/>
  <c r="U105" i="10" s="1"/>
  <c r="R104" i="10"/>
  <c r="N104" i="10"/>
  <c r="G104" i="10"/>
  <c r="K104" i="10" s="1"/>
  <c r="R103" i="10"/>
  <c r="N103" i="10"/>
  <c r="G103" i="10"/>
  <c r="K103" i="10" s="1"/>
  <c r="U103" i="10" s="1"/>
  <c r="R102" i="10"/>
  <c r="N102" i="10"/>
  <c r="G102" i="10"/>
  <c r="K102" i="10" s="1"/>
  <c r="U102" i="10" s="1"/>
  <c r="R101" i="10"/>
  <c r="N101" i="10"/>
  <c r="G101" i="10"/>
  <c r="K101" i="10" s="1"/>
  <c r="U101" i="10" s="1"/>
  <c r="R100" i="10"/>
  <c r="N100" i="10"/>
  <c r="G100" i="10"/>
  <c r="K100" i="10" s="1"/>
  <c r="U100" i="10" s="1"/>
  <c r="R99" i="10"/>
  <c r="N99" i="10"/>
  <c r="G99" i="10"/>
  <c r="K99" i="10" s="1"/>
  <c r="U99" i="10" s="1"/>
  <c r="R98" i="10"/>
  <c r="N98" i="10"/>
  <c r="G98" i="10"/>
  <c r="K98" i="10" s="1"/>
  <c r="U98" i="10" s="1"/>
  <c r="R97" i="10"/>
  <c r="N97" i="10"/>
  <c r="G97" i="10"/>
  <c r="K97" i="10" s="1"/>
  <c r="U97" i="10" s="1"/>
  <c r="R96" i="10"/>
  <c r="N96" i="10"/>
  <c r="G96" i="10"/>
  <c r="K96" i="10" s="1"/>
  <c r="U96" i="10" s="1"/>
  <c r="R95" i="10"/>
  <c r="N95" i="10"/>
  <c r="G95" i="10"/>
  <c r="K95" i="10" s="1"/>
  <c r="U95" i="10" s="1"/>
  <c r="R94" i="10"/>
  <c r="N94" i="10"/>
  <c r="G94" i="10"/>
  <c r="K94" i="10" s="1"/>
  <c r="R93" i="10"/>
  <c r="N93" i="10"/>
  <c r="G93" i="10"/>
  <c r="K93" i="10" s="1"/>
  <c r="U93" i="10" s="1"/>
  <c r="R92" i="10"/>
  <c r="N92" i="10"/>
  <c r="G92" i="10"/>
  <c r="K92" i="10" s="1"/>
  <c r="U92" i="10" s="1"/>
  <c r="R91" i="10"/>
  <c r="N91" i="10"/>
  <c r="G91" i="10"/>
  <c r="K91" i="10" s="1"/>
  <c r="U91" i="10" s="1"/>
  <c r="K166" i="5"/>
  <c r="U166" i="5" s="1"/>
  <c r="G168" i="5"/>
  <c r="G168" i="4"/>
  <c r="G167" i="5"/>
  <c r="G166" i="5"/>
  <c r="G161" i="5"/>
  <c r="G160" i="5"/>
  <c r="G159" i="5"/>
  <c r="G158" i="5"/>
  <c r="K158" i="5" s="1"/>
  <c r="Q158" i="5" s="1"/>
  <c r="S158" i="5" s="1"/>
  <c r="G155" i="5"/>
  <c r="G154" i="5"/>
  <c r="G153" i="5"/>
  <c r="K153" i="5" s="1"/>
  <c r="U153" i="5" s="1"/>
  <c r="G152" i="5"/>
  <c r="G151" i="5"/>
  <c r="G150" i="5"/>
  <c r="G149" i="5"/>
  <c r="G148" i="5"/>
  <c r="K148" i="5" s="1"/>
  <c r="U148" i="5" s="1"/>
  <c r="G147" i="5"/>
  <c r="K147" i="5" s="1"/>
  <c r="U147" i="5" s="1"/>
  <c r="G146" i="5"/>
  <c r="K146" i="5" s="1"/>
  <c r="U146" i="5" s="1"/>
  <c r="G145" i="5"/>
  <c r="K145" i="5" s="1"/>
  <c r="U145" i="5" s="1"/>
  <c r="G144" i="5"/>
  <c r="G143" i="5"/>
  <c r="G142" i="5"/>
  <c r="K142" i="5" s="1"/>
  <c r="U142" i="5" s="1"/>
  <c r="G141" i="5"/>
  <c r="K141" i="5" s="1"/>
  <c r="U141" i="5" s="1"/>
  <c r="O205" i="5"/>
  <c r="L205" i="5"/>
  <c r="S205" i="5" s="1"/>
  <c r="O204" i="5"/>
  <c r="L204" i="5"/>
  <c r="S204" i="5" s="1"/>
  <c r="O203" i="5"/>
  <c r="L203" i="5"/>
  <c r="S203" i="5" s="1"/>
  <c r="O202" i="5"/>
  <c r="L202" i="5"/>
  <c r="S202" i="5" s="1"/>
  <c r="T204" i="5" s="1"/>
  <c r="U202" i="5" s="1"/>
  <c r="O199" i="5"/>
  <c r="S199" i="5" s="1"/>
  <c r="L199" i="5"/>
  <c r="O198" i="5"/>
  <c r="S198" i="5" s="1"/>
  <c r="L198" i="5"/>
  <c r="O197" i="5"/>
  <c r="L197" i="5"/>
  <c r="S197" i="5" s="1"/>
  <c r="O196" i="5"/>
  <c r="L196" i="5"/>
  <c r="S196" i="5" s="1"/>
  <c r="T198" i="5" s="1"/>
  <c r="U196" i="5" s="1"/>
  <c r="O193" i="5"/>
  <c r="L193" i="5"/>
  <c r="S193" i="5" s="1"/>
  <c r="O192" i="5"/>
  <c r="L192" i="5"/>
  <c r="S192" i="5" s="1"/>
  <c r="S191" i="5"/>
  <c r="O191" i="5"/>
  <c r="L191" i="5"/>
  <c r="O190" i="5"/>
  <c r="L190" i="5"/>
  <c r="S190" i="5" s="1"/>
  <c r="O187" i="5"/>
  <c r="L187" i="5"/>
  <c r="S187" i="5" s="1"/>
  <c r="O186" i="5"/>
  <c r="S186" i="5" s="1"/>
  <c r="L186" i="5"/>
  <c r="O185" i="5"/>
  <c r="L185" i="5"/>
  <c r="S185" i="5" s="1"/>
  <c r="O184" i="5"/>
  <c r="L184" i="5"/>
  <c r="S184" i="5" s="1"/>
  <c r="O180" i="5"/>
  <c r="G180" i="5"/>
  <c r="K180" i="5" s="1"/>
  <c r="Q180" i="5" s="1"/>
  <c r="S180" i="5" s="1"/>
  <c r="O179" i="5"/>
  <c r="G179" i="5"/>
  <c r="K179" i="5" s="1"/>
  <c r="Q179" i="5" s="1"/>
  <c r="S179" i="5" s="1"/>
  <c r="T179" i="5" s="1"/>
  <c r="U176" i="5"/>
  <c r="R176" i="5"/>
  <c r="N176" i="5"/>
  <c r="K176" i="5"/>
  <c r="R175" i="5"/>
  <c r="N175" i="5"/>
  <c r="J175" i="5"/>
  <c r="G175" i="5"/>
  <c r="K175" i="5" s="1"/>
  <c r="U175" i="5" s="1"/>
  <c r="R174" i="5"/>
  <c r="N174" i="5"/>
  <c r="J174" i="5"/>
  <c r="G174" i="5"/>
  <c r="K174" i="5" s="1"/>
  <c r="U174" i="5" s="1"/>
  <c r="R173" i="5"/>
  <c r="N173" i="5"/>
  <c r="J173" i="5"/>
  <c r="G173" i="5"/>
  <c r="K173" i="5" s="1"/>
  <c r="U173" i="5" s="1"/>
  <c r="R172" i="5"/>
  <c r="N172" i="5"/>
  <c r="J172" i="5"/>
  <c r="G172" i="5"/>
  <c r="K172" i="5" s="1"/>
  <c r="U172" i="5" s="1"/>
  <c r="R171" i="5"/>
  <c r="N171" i="5"/>
  <c r="J171" i="5"/>
  <c r="K171" i="5" s="1"/>
  <c r="U171" i="5" s="1"/>
  <c r="G171" i="5"/>
  <c r="R170" i="5"/>
  <c r="N170" i="5"/>
  <c r="J170" i="5"/>
  <c r="G170" i="5"/>
  <c r="K170" i="5" s="1"/>
  <c r="U170" i="5" s="1"/>
  <c r="R169" i="5"/>
  <c r="N169" i="5"/>
  <c r="J169" i="5"/>
  <c r="K169" i="5" s="1"/>
  <c r="U169" i="5" s="1"/>
  <c r="G169" i="5"/>
  <c r="R168" i="5"/>
  <c r="N168" i="5"/>
  <c r="K168" i="5"/>
  <c r="U168" i="5" s="1"/>
  <c r="R167" i="5"/>
  <c r="N167" i="5"/>
  <c r="K167" i="5"/>
  <c r="U167" i="5" s="1"/>
  <c r="R166" i="5"/>
  <c r="N166" i="5"/>
  <c r="O162" i="5"/>
  <c r="G162" i="5"/>
  <c r="K162" i="5" s="1"/>
  <c r="Q162" i="5" s="1"/>
  <c r="S162" i="5" s="1"/>
  <c r="O161" i="5"/>
  <c r="O160" i="5"/>
  <c r="K160" i="5"/>
  <c r="Q160" i="5" s="1"/>
  <c r="S160" i="5" s="1"/>
  <c r="O159" i="5"/>
  <c r="K159" i="5"/>
  <c r="Q159" i="5" s="1"/>
  <c r="S159" i="5" s="1"/>
  <c r="O158" i="5"/>
  <c r="R155" i="5"/>
  <c r="N155" i="5"/>
  <c r="K155" i="5"/>
  <c r="U155" i="5" s="1"/>
  <c r="R154" i="5"/>
  <c r="N154" i="5"/>
  <c r="K154" i="5"/>
  <c r="U154" i="5" s="1"/>
  <c r="R153" i="5"/>
  <c r="N153" i="5"/>
  <c r="R152" i="5"/>
  <c r="N152" i="5"/>
  <c r="K152" i="5"/>
  <c r="U152" i="5" s="1"/>
  <c r="R151" i="5"/>
  <c r="N151" i="5"/>
  <c r="K151" i="5"/>
  <c r="U151" i="5" s="1"/>
  <c r="R150" i="5"/>
  <c r="N150" i="5"/>
  <c r="K150" i="5"/>
  <c r="U150" i="5" s="1"/>
  <c r="R149" i="5"/>
  <c r="N149" i="5"/>
  <c r="K149" i="5"/>
  <c r="U149" i="5" s="1"/>
  <c r="R148" i="5"/>
  <c r="N148" i="5"/>
  <c r="R147" i="5"/>
  <c r="N147" i="5"/>
  <c r="R146" i="5"/>
  <c r="N146" i="5"/>
  <c r="R145" i="5"/>
  <c r="N145" i="5"/>
  <c r="R144" i="5"/>
  <c r="N144" i="5"/>
  <c r="K144" i="5"/>
  <c r="U144" i="5" s="1"/>
  <c r="R143" i="5"/>
  <c r="N143" i="5"/>
  <c r="K143" i="5"/>
  <c r="U143" i="5" s="1"/>
  <c r="R142" i="5"/>
  <c r="N142" i="5"/>
  <c r="R141" i="5"/>
  <c r="N141" i="5"/>
  <c r="J97" i="5"/>
  <c r="K97" i="5"/>
  <c r="N97" i="5"/>
  <c r="U97" i="5" s="1"/>
  <c r="R97" i="5"/>
  <c r="O135" i="5"/>
  <c r="L135" i="5"/>
  <c r="S135" i="5" s="1"/>
  <c r="O134" i="5"/>
  <c r="L134" i="5"/>
  <c r="S134" i="5" s="1"/>
  <c r="O133" i="5"/>
  <c r="L133" i="5"/>
  <c r="S133" i="5" s="1"/>
  <c r="O132" i="5"/>
  <c r="L132" i="5"/>
  <c r="S132" i="5" s="1"/>
  <c r="O129" i="5"/>
  <c r="L129" i="5"/>
  <c r="O128" i="5"/>
  <c r="L128" i="5"/>
  <c r="S128" i="5" s="1"/>
  <c r="O127" i="5"/>
  <c r="L127" i="5"/>
  <c r="S127" i="5" s="1"/>
  <c r="O126" i="5"/>
  <c r="L126" i="5"/>
  <c r="S126" i="5" s="1"/>
  <c r="O123" i="5"/>
  <c r="L123" i="5"/>
  <c r="S123" i="5" s="1"/>
  <c r="O122" i="5"/>
  <c r="L122" i="5"/>
  <c r="S122" i="5" s="1"/>
  <c r="O121" i="5"/>
  <c r="L121" i="5"/>
  <c r="S121" i="5" s="1"/>
  <c r="O120" i="5"/>
  <c r="L120" i="5"/>
  <c r="S120" i="5" s="1"/>
  <c r="T122" i="5" s="1"/>
  <c r="U120" i="5" s="1"/>
  <c r="O117" i="5"/>
  <c r="L117" i="5"/>
  <c r="S117" i="5" s="1"/>
  <c r="O116" i="5"/>
  <c r="L116" i="5"/>
  <c r="O115" i="5"/>
  <c r="L115" i="5"/>
  <c r="S115" i="5" s="1"/>
  <c r="O114" i="5"/>
  <c r="L114" i="5"/>
  <c r="S114" i="5" s="1"/>
  <c r="O110" i="5"/>
  <c r="O109" i="5"/>
  <c r="G109" i="5"/>
  <c r="K109" i="5" s="1"/>
  <c r="Q109" i="5" s="1"/>
  <c r="S109" i="5" s="1"/>
  <c r="R106" i="5"/>
  <c r="N106" i="5"/>
  <c r="K106" i="5"/>
  <c r="U106" i="5" s="1"/>
  <c r="R105" i="5"/>
  <c r="N105" i="5"/>
  <c r="J105" i="5"/>
  <c r="G105" i="5"/>
  <c r="R104" i="5"/>
  <c r="N104" i="5"/>
  <c r="J104" i="5"/>
  <c r="G104" i="5"/>
  <c r="K104" i="5" s="1"/>
  <c r="U104" i="5" s="1"/>
  <c r="R103" i="5"/>
  <c r="N103" i="5"/>
  <c r="J103" i="5"/>
  <c r="G103" i="5"/>
  <c r="K103" i="5" s="1"/>
  <c r="R102" i="5"/>
  <c r="N102" i="5"/>
  <c r="J102" i="5"/>
  <c r="G102" i="5"/>
  <c r="K102" i="5" s="1"/>
  <c r="U102" i="5" s="1"/>
  <c r="R101" i="5"/>
  <c r="N101" i="5"/>
  <c r="J101" i="5"/>
  <c r="G101" i="5"/>
  <c r="K101" i="5" s="1"/>
  <c r="U101" i="5" s="1"/>
  <c r="R100" i="5"/>
  <c r="N100" i="5"/>
  <c r="J100" i="5"/>
  <c r="G100" i="5"/>
  <c r="K100" i="5" s="1"/>
  <c r="U100" i="5" s="1"/>
  <c r="R99" i="5"/>
  <c r="N99" i="5"/>
  <c r="J99" i="5"/>
  <c r="G99" i="5"/>
  <c r="R98" i="5"/>
  <c r="N98" i="5"/>
  <c r="U98" i="5" s="1"/>
  <c r="J98" i="5"/>
  <c r="G98" i="5"/>
  <c r="K98" i="5" s="1"/>
  <c r="R96" i="5"/>
  <c r="N96" i="5"/>
  <c r="J96" i="5"/>
  <c r="K96" i="5" s="1"/>
  <c r="O92" i="5"/>
  <c r="O91" i="5"/>
  <c r="G91" i="5"/>
  <c r="K91" i="5" s="1"/>
  <c r="Q91" i="5" s="1"/>
  <c r="S91" i="5" s="1"/>
  <c r="O90" i="5"/>
  <c r="G90" i="5"/>
  <c r="K90" i="5" s="1"/>
  <c r="Q90" i="5" s="1"/>
  <c r="S90" i="5" s="1"/>
  <c r="O89" i="5"/>
  <c r="G89" i="5"/>
  <c r="K89" i="5" s="1"/>
  <c r="Q89" i="5" s="1"/>
  <c r="S89" i="5" s="1"/>
  <c r="O88" i="5"/>
  <c r="G88" i="5"/>
  <c r="K88" i="5" s="1"/>
  <c r="Q88" i="5" s="1"/>
  <c r="S88" i="5" s="1"/>
  <c r="R85" i="5"/>
  <c r="N85" i="5"/>
  <c r="G85" i="5"/>
  <c r="G92" i="5" s="1"/>
  <c r="K92" i="5" s="1"/>
  <c r="R84" i="5"/>
  <c r="N84" i="5"/>
  <c r="G84" i="5"/>
  <c r="K84" i="5" s="1"/>
  <c r="R83" i="5"/>
  <c r="N83" i="5"/>
  <c r="G83" i="5"/>
  <c r="K83" i="5" s="1"/>
  <c r="R82" i="5"/>
  <c r="N82" i="5"/>
  <c r="G82" i="5"/>
  <c r="K82" i="5" s="1"/>
  <c r="R81" i="5"/>
  <c r="N81" i="5"/>
  <c r="G81" i="5"/>
  <c r="K81" i="5" s="1"/>
  <c r="U81" i="5" s="1"/>
  <c r="R80" i="5"/>
  <c r="N80" i="5"/>
  <c r="G80" i="5"/>
  <c r="K80" i="5" s="1"/>
  <c r="U80" i="5" s="1"/>
  <c r="R79" i="5"/>
  <c r="N79" i="5"/>
  <c r="G79" i="5"/>
  <c r="K79" i="5" s="1"/>
  <c r="R78" i="5"/>
  <c r="N78" i="5"/>
  <c r="G78" i="5"/>
  <c r="K78" i="5" s="1"/>
  <c r="U78" i="5" s="1"/>
  <c r="R77" i="5"/>
  <c r="N77" i="5"/>
  <c r="G77" i="5"/>
  <c r="K77" i="5" s="1"/>
  <c r="U77" i="5" s="1"/>
  <c r="R76" i="5"/>
  <c r="N76" i="5"/>
  <c r="G76" i="5"/>
  <c r="K76" i="5" s="1"/>
  <c r="U76" i="5" s="1"/>
  <c r="R75" i="5"/>
  <c r="N75" i="5"/>
  <c r="G75" i="5"/>
  <c r="K75" i="5" s="1"/>
  <c r="U75" i="5" s="1"/>
  <c r="R74" i="5"/>
  <c r="N74" i="5"/>
  <c r="G74" i="5"/>
  <c r="K74" i="5" s="1"/>
  <c r="U74" i="5" s="1"/>
  <c r="R73" i="5"/>
  <c r="N73" i="5"/>
  <c r="G73" i="5"/>
  <c r="K73" i="5" s="1"/>
  <c r="U73" i="5" s="1"/>
  <c r="R72" i="5"/>
  <c r="N72" i="5"/>
  <c r="G72" i="5"/>
  <c r="K72" i="5" s="1"/>
  <c r="U72" i="5" s="1"/>
  <c r="R71" i="5"/>
  <c r="N71" i="5"/>
  <c r="G71" i="5"/>
  <c r="K71" i="5" s="1"/>
  <c r="G167" i="4"/>
  <c r="G166" i="4"/>
  <c r="G160" i="4"/>
  <c r="G159" i="4"/>
  <c r="G158" i="4"/>
  <c r="K158" i="4" s="1"/>
  <c r="Q158" i="4" s="1"/>
  <c r="S158" i="4" s="1"/>
  <c r="G154" i="4"/>
  <c r="K154" i="4" s="1"/>
  <c r="U154" i="4" s="1"/>
  <c r="G155" i="4"/>
  <c r="K155" i="4" s="1"/>
  <c r="U155" i="4" s="1"/>
  <c r="G153" i="4"/>
  <c r="G151" i="4"/>
  <c r="K151" i="4" s="1"/>
  <c r="U151" i="4" s="1"/>
  <c r="G152" i="4"/>
  <c r="K152" i="4" s="1"/>
  <c r="U152" i="4" s="1"/>
  <c r="G150" i="4"/>
  <c r="G142" i="4"/>
  <c r="K142" i="4" s="1"/>
  <c r="U142" i="4" s="1"/>
  <c r="G143" i="4"/>
  <c r="K143" i="4" s="1"/>
  <c r="U143" i="4" s="1"/>
  <c r="G144" i="4"/>
  <c r="K144" i="4" s="1"/>
  <c r="U144" i="4" s="1"/>
  <c r="G145" i="4"/>
  <c r="G146" i="4"/>
  <c r="K146" i="4" s="1"/>
  <c r="U146" i="4" s="1"/>
  <c r="G147" i="4"/>
  <c r="K147" i="4" s="1"/>
  <c r="U147" i="4" s="1"/>
  <c r="G148" i="4"/>
  <c r="G149" i="4"/>
  <c r="G141" i="4"/>
  <c r="O205" i="4"/>
  <c r="L205" i="4"/>
  <c r="S205" i="4" s="1"/>
  <c r="O204" i="4"/>
  <c r="L204" i="4"/>
  <c r="S204" i="4" s="1"/>
  <c r="O203" i="4"/>
  <c r="L203" i="4"/>
  <c r="S203" i="4" s="1"/>
  <c r="O202" i="4"/>
  <c r="L202" i="4"/>
  <c r="S202" i="4" s="1"/>
  <c r="T204" i="4" s="1"/>
  <c r="U202" i="4" s="1"/>
  <c r="O199" i="4"/>
  <c r="S199" i="4" s="1"/>
  <c r="L199" i="4"/>
  <c r="O198" i="4"/>
  <c r="L198" i="4"/>
  <c r="S198" i="4" s="1"/>
  <c r="O197" i="4"/>
  <c r="L197" i="4"/>
  <c r="S197" i="4" s="1"/>
  <c r="O196" i="4"/>
  <c r="L196" i="4"/>
  <c r="S196" i="4" s="1"/>
  <c r="O193" i="4"/>
  <c r="L193" i="4"/>
  <c r="S193" i="4" s="1"/>
  <c r="O192" i="4"/>
  <c r="L192" i="4"/>
  <c r="S192" i="4" s="1"/>
  <c r="O191" i="4"/>
  <c r="L191" i="4"/>
  <c r="S191" i="4" s="1"/>
  <c r="O190" i="4"/>
  <c r="L190" i="4"/>
  <c r="S190" i="4" s="1"/>
  <c r="T192" i="4" s="1"/>
  <c r="U190" i="4" s="1"/>
  <c r="O187" i="4"/>
  <c r="L187" i="4"/>
  <c r="S187" i="4" s="1"/>
  <c r="O186" i="4"/>
  <c r="S186" i="4" s="1"/>
  <c r="L186" i="4"/>
  <c r="O185" i="4"/>
  <c r="L185" i="4"/>
  <c r="S185" i="4" s="1"/>
  <c r="O184" i="4"/>
  <c r="L184" i="4"/>
  <c r="S184" i="4" s="1"/>
  <c r="O180" i="4"/>
  <c r="G180" i="4"/>
  <c r="K180" i="4" s="1"/>
  <c r="Q180" i="4" s="1"/>
  <c r="S180" i="4" s="1"/>
  <c r="O179" i="4"/>
  <c r="G179" i="4"/>
  <c r="K179" i="4" s="1"/>
  <c r="Q179" i="4" s="1"/>
  <c r="S179" i="4" s="1"/>
  <c r="T179" i="4" s="1"/>
  <c r="R176" i="4"/>
  <c r="N176" i="4"/>
  <c r="K176" i="4"/>
  <c r="U176" i="4" s="1"/>
  <c r="R175" i="4"/>
  <c r="N175" i="4"/>
  <c r="J175" i="4"/>
  <c r="G175" i="4"/>
  <c r="K175" i="4" s="1"/>
  <c r="U175" i="4" s="1"/>
  <c r="R174" i="4"/>
  <c r="N174" i="4"/>
  <c r="J174" i="4"/>
  <c r="G174" i="4"/>
  <c r="K174" i="4" s="1"/>
  <c r="U174" i="4" s="1"/>
  <c r="R173" i="4"/>
  <c r="N173" i="4"/>
  <c r="J173" i="4"/>
  <c r="G173" i="4"/>
  <c r="K173" i="4" s="1"/>
  <c r="U173" i="4" s="1"/>
  <c r="R172" i="4"/>
  <c r="N172" i="4"/>
  <c r="J172" i="4"/>
  <c r="G172" i="4"/>
  <c r="K172" i="4" s="1"/>
  <c r="U172" i="4" s="1"/>
  <c r="R171" i="4"/>
  <c r="N171" i="4"/>
  <c r="J171" i="4"/>
  <c r="G171" i="4"/>
  <c r="K171" i="4" s="1"/>
  <c r="U171" i="4" s="1"/>
  <c r="R170" i="4"/>
  <c r="N170" i="4"/>
  <c r="J170" i="4"/>
  <c r="G170" i="4"/>
  <c r="K170" i="4" s="1"/>
  <c r="U170" i="4" s="1"/>
  <c r="R169" i="4"/>
  <c r="N169" i="4"/>
  <c r="J169" i="4"/>
  <c r="K169" i="4" s="1"/>
  <c r="U169" i="4" s="1"/>
  <c r="G169" i="4"/>
  <c r="R168" i="4"/>
  <c r="N168" i="4"/>
  <c r="J168" i="4"/>
  <c r="K168" i="4"/>
  <c r="U168" i="4" s="1"/>
  <c r="R167" i="4"/>
  <c r="N167" i="4"/>
  <c r="R166" i="4"/>
  <c r="N166" i="4"/>
  <c r="O162" i="4"/>
  <c r="O161" i="4"/>
  <c r="G161" i="4"/>
  <c r="K161" i="4" s="1"/>
  <c r="Q161" i="4" s="1"/>
  <c r="S161" i="4" s="1"/>
  <c r="O160" i="4"/>
  <c r="K160" i="4"/>
  <c r="Q160" i="4" s="1"/>
  <c r="S160" i="4" s="1"/>
  <c r="O159" i="4"/>
  <c r="K159" i="4"/>
  <c r="Q159" i="4" s="1"/>
  <c r="S159" i="4" s="1"/>
  <c r="O158" i="4"/>
  <c r="R155" i="4"/>
  <c r="N155" i="4"/>
  <c r="R154" i="4"/>
  <c r="N154" i="4"/>
  <c r="R153" i="4"/>
  <c r="N153" i="4"/>
  <c r="K153" i="4"/>
  <c r="U153" i="4" s="1"/>
  <c r="R152" i="4"/>
  <c r="N152" i="4"/>
  <c r="R151" i="4"/>
  <c r="N151" i="4"/>
  <c r="R150" i="4"/>
  <c r="N150" i="4"/>
  <c r="K150" i="4"/>
  <c r="U150" i="4" s="1"/>
  <c r="R149" i="4"/>
  <c r="N149" i="4"/>
  <c r="K149" i="4"/>
  <c r="U149" i="4" s="1"/>
  <c r="R148" i="4"/>
  <c r="N148" i="4"/>
  <c r="K148" i="4"/>
  <c r="U148" i="4" s="1"/>
  <c r="R147" i="4"/>
  <c r="N147" i="4"/>
  <c r="R146" i="4"/>
  <c r="N146" i="4"/>
  <c r="R145" i="4"/>
  <c r="N145" i="4"/>
  <c r="K145" i="4"/>
  <c r="U145" i="4" s="1"/>
  <c r="R144" i="4"/>
  <c r="N144" i="4"/>
  <c r="R143" i="4"/>
  <c r="N143" i="4"/>
  <c r="R142" i="4"/>
  <c r="N142" i="4"/>
  <c r="R141" i="4"/>
  <c r="N141" i="4"/>
  <c r="K141" i="4"/>
  <c r="U141" i="4" s="1"/>
  <c r="U97" i="4"/>
  <c r="R97" i="4"/>
  <c r="N97" i="4"/>
  <c r="N98" i="4"/>
  <c r="U98" i="4" s="1"/>
  <c r="K97" i="4"/>
  <c r="K98" i="4"/>
  <c r="J97" i="4"/>
  <c r="O135" i="4"/>
  <c r="L135" i="4"/>
  <c r="S135" i="4" s="1"/>
  <c r="O134" i="4"/>
  <c r="L134" i="4"/>
  <c r="S134" i="4" s="1"/>
  <c r="O133" i="4"/>
  <c r="L133" i="4"/>
  <c r="O132" i="4"/>
  <c r="L132" i="4"/>
  <c r="S132" i="4" s="1"/>
  <c r="O129" i="4"/>
  <c r="L129" i="4"/>
  <c r="O128" i="4"/>
  <c r="L128" i="4"/>
  <c r="S128" i="4" s="1"/>
  <c r="O127" i="4"/>
  <c r="L127" i="4"/>
  <c r="S127" i="4" s="1"/>
  <c r="O126" i="4"/>
  <c r="L126" i="4"/>
  <c r="S126" i="4" s="1"/>
  <c r="O123" i="4"/>
  <c r="L123" i="4"/>
  <c r="S123" i="4" s="1"/>
  <c r="O122" i="4"/>
  <c r="L122" i="4"/>
  <c r="S122" i="4" s="1"/>
  <c r="O121" i="4"/>
  <c r="L121" i="4"/>
  <c r="S121" i="4" s="1"/>
  <c r="O120" i="4"/>
  <c r="L120" i="4"/>
  <c r="S120" i="4" s="1"/>
  <c r="O117" i="4"/>
  <c r="L117" i="4"/>
  <c r="S117" i="4" s="1"/>
  <c r="O116" i="4"/>
  <c r="L116" i="4"/>
  <c r="O115" i="4"/>
  <c r="L115" i="4"/>
  <c r="S115" i="4" s="1"/>
  <c r="O114" i="4"/>
  <c r="L114" i="4"/>
  <c r="S114" i="4" s="1"/>
  <c r="O110" i="4"/>
  <c r="O109" i="4"/>
  <c r="G109" i="4"/>
  <c r="K109" i="4" s="1"/>
  <c r="Q109" i="4" s="1"/>
  <c r="S109" i="4" s="1"/>
  <c r="R106" i="4"/>
  <c r="N106" i="4"/>
  <c r="K106" i="4"/>
  <c r="U106" i="4" s="1"/>
  <c r="R105" i="4"/>
  <c r="N105" i="4"/>
  <c r="J105" i="4"/>
  <c r="G105" i="4"/>
  <c r="K105" i="4" s="1"/>
  <c r="U105" i="4" s="1"/>
  <c r="R104" i="4"/>
  <c r="N104" i="4"/>
  <c r="J104" i="4"/>
  <c r="G104" i="4"/>
  <c r="K104" i="4" s="1"/>
  <c r="U104" i="4" s="1"/>
  <c r="R103" i="4"/>
  <c r="N103" i="4"/>
  <c r="J103" i="4"/>
  <c r="G103" i="4"/>
  <c r="R102" i="4"/>
  <c r="N102" i="4"/>
  <c r="J102" i="4"/>
  <c r="G102" i="4"/>
  <c r="K102" i="4" s="1"/>
  <c r="R101" i="4"/>
  <c r="N101" i="4"/>
  <c r="J101" i="4"/>
  <c r="G101" i="4"/>
  <c r="K101" i="4" s="1"/>
  <c r="U101" i="4" s="1"/>
  <c r="R100" i="4"/>
  <c r="N100" i="4"/>
  <c r="J100" i="4"/>
  <c r="G100" i="4"/>
  <c r="K100" i="4" s="1"/>
  <c r="U100" i="4" s="1"/>
  <c r="R99" i="4"/>
  <c r="N99" i="4"/>
  <c r="J99" i="4"/>
  <c r="K99" i="4" s="1"/>
  <c r="G99" i="4"/>
  <c r="R98" i="4"/>
  <c r="J98" i="4"/>
  <c r="G98" i="4"/>
  <c r="R96" i="4"/>
  <c r="N96" i="4"/>
  <c r="J96" i="4"/>
  <c r="K96" i="4" s="1"/>
  <c r="U96" i="4" s="1"/>
  <c r="O92" i="4"/>
  <c r="O91" i="4"/>
  <c r="G91" i="4"/>
  <c r="K91" i="4" s="1"/>
  <c r="Q91" i="4" s="1"/>
  <c r="S91" i="4" s="1"/>
  <c r="O90" i="4"/>
  <c r="G90" i="4"/>
  <c r="K90" i="4" s="1"/>
  <c r="Q90" i="4" s="1"/>
  <c r="S90" i="4" s="1"/>
  <c r="O89" i="4"/>
  <c r="G89" i="4"/>
  <c r="K89" i="4" s="1"/>
  <c r="Q89" i="4" s="1"/>
  <c r="S89" i="4" s="1"/>
  <c r="O88" i="4"/>
  <c r="G88" i="4"/>
  <c r="K88" i="4" s="1"/>
  <c r="Q88" i="4" s="1"/>
  <c r="S88" i="4" s="1"/>
  <c r="R85" i="4"/>
  <c r="N85" i="4"/>
  <c r="G85" i="4"/>
  <c r="G92" i="4" s="1"/>
  <c r="K92" i="4" s="1"/>
  <c r="R84" i="4"/>
  <c r="N84" i="4"/>
  <c r="G84" i="4"/>
  <c r="K84" i="4" s="1"/>
  <c r="U84" i="4" s="1"/>
  <c r="R83" i="4"/>
  <c r="N83" i="4"/>
  <c r="G83" i="4"/>
  <c r="K83" i="4" s="1"/>
  <c r="R82" i="4"/>
  <c r="N82" i="4"/>
  <c r="G82" i="4"/>
  <c r="K82" i="4" s="1"/>
  <c r="R81" i="4"/>
  <c r="N81" i="4"/>
  <c r="G81" i="4"/>
  <c r="K81" i="4" s="1"/>
  <c r="U81" i="4" s="1"/>
  <c r="R80" i="4"/>
  <c r="N80" i="4"/>
  <c r="G80" i="4"/>
  <c r="K80" i="4" s="1"/>
  <c r="U80" i="4" s="1"/>
  <c r="R79" i="4"/>
  <c r="N79" i="4"/>
  <c r="G79" i="4"/>
  <c r="K79" i="4" s="1"/>
  <c r="R78" i="4"/>
  <c r="N78" i="4"/>
  <c r="G78" i="4"/>
  <c r="K78" i="4" s="1"/>
  <c r="R77" i="4"/>
  <c r="N77" i="4"/>
  <c r="G77" i="4"/>
  <c r="K77" i="4" s="1"/>
  <c r="U77" i="4" s="1"/>
  <c r="R76" i="4"/>
  <c r="N76" i="4"/>
  <c r="G76" i="4"/>
  <c r="K76" i="4" s="1"/>
  <c r="R75" i="4"/>
  <c r="N75" i="4"/>
  <c r="G75" i="4"/>
  <c r="K75" i="4" s="1"/>
  <c r="R74" i="4"/>
  <c r="N74" i="4"/>
  <c r="G74" i="4"/>
  <c r="K74" i="4" s="1"/>
  <c r="U74" i="4" s="1"/>
  <c r="R73" i="4"/>
  <c r="N73" i="4"/>
  <c r="G73" i="4"/>
  <c r="K73" i="4" s="1"/>
  <c r="U73" i="4" s="1"/>
  <c r="R72" i="4"/>
  <c r="N72" i="4"/>
  <c r="G72" i="4"/>
  <c r="K72" i="4" s="1"/>
  <c r="U72" i="4" s="1"/>
  <c r="R71" i="4"/>
  <c r="N71" i="4"/>
  <c r="G71" i="4"/>
  <c r="K71" i="4" s="1"/>
  <c r="G179" i="2"/>
  <c r="G178" i="2"/>
  <c r="G177" i="2"/>
  <c r="T250" i="10" l="1"/>
  <c r="U248" i="10" s="1"/>
  <c r="T232" i="10"/>
  <c r="U230" i="10" s="1"/>
  <c r="V212" i="10"/>
  <c r="V175" i="10"/>
  <c r="T244" i="10"/>
  <c r="U242" i="10" s="1"/>
  <c r="B182" i="10" s="1"/>
  <c r="G226" i="10"/>
  <c r="K226" i="10" s="1"/>
  <c r="Q226" i="10" s="1"/>
  <c r="S226" i="10" s="1"/>
  <c r="T225" i="10" s="1"/>
  <c r="K207" i="10"/>
  <c r="Q207" i="10" s="1"/>
  <c r="S207" i="10" s="1"/>
  <c r="T204" i="10" s="1"/>
  <c r="T166" i="10"/>
  <c r="U164" i="10" s="1"/>
  <c r="S154" i="10"/>
  <c r="S148" i="10"/>
  <c r="Q124" i="10"/>
  <c r="S124" i="10" s="1"/>
  <c r="S153" i="10"/>
  <c r="T154" i="10" s="1"/>
  <c r="U152" i="10" s="1"/>
  <c r="U114" i="10"/>
  <c r="K131" i="10"/>
  <c r="U131" i="10" s="1"/>
  <c r="V128" i="10" s="1"/>
  <c r="G142" i="10"/>
  <c r="K142" i="10" s="1"/>
  <c r="Q142" i="10" s="1"/>
  <c r="S142" i="10" s="1"/>
  <c r="T141" i="10" s="1"/>
  <c r="S155" i="10"/>
  <c r="S161" i="10"/>
  <c r="T160" i="10" s="1"/>
  <c r="U158" i="10" s="1"/>
  <c r="Q123" i="10"/>
  <c r="S123" i="10" s="1"/>
  <c r="T120" i="10" s="1"/>
  <c r="U138" i="10"/>
  <c r="U109" i="10"/>
  <c r="U94" i="10"/>
  <c r="U104" i="10"/>
  <c r="S146" i="10"/>
  <c r="S158" i="10"/>
  <c r="U113" i="10"/>
  <c r="T148" i="10"/>
  <c r="U146" i="10" s="1"/>
  <c r="K107" i="10"/>
  <c r="U107" i="10" s="1"/>
  <c r="K117" i="10"/>
  <c r="U117" i="10" s="1"/>
  <c r="T192" i="5"/>
  <c r="U190" i="5" s="1"/>
  <c r="V166" i="5"/>
  <c r="B146" i="5" s="1"/>
  <c r="K161" i="5"/>
  <c r="Q161" i="5" s="1"/>
  <c r="S161" i="5" s="1"/>
  <c r="T158" i="5"/>
  <c r="V141" i="5"/>
  <c r="T186" i="5"/>
  <c r="U184" i="5" s="1"/>
  <c r="B148" i="5" s="1"/>
  <c r="T134" i="5"/>
  <c r="U132" i="5" s="1"/>
  <c r="U96" i="5"/>
  <c r="T116" i="5"/>
  <c r="U114" i="5" s="1"/>
  <c r="K105" i="5"/>
  <c r="U105" i="5" s="1"/>
  <c r="Q92" i="5"/>
  <c r="S92" i="5" s="1"/>
  <c r="U103" i="5"/>
  <c r="K99" i="5"/>
  <c r="U99" i="5" s="1"/>
  <c r="G110" i="5"/>
  <c r="K110" i="5" s="1"/>
  <c r="Q110" i="5" s="1"/>
  <c r="S110" i="5" s="1"/>
  <c r="T109" i="5" s="1"/>
  <c r="S116" i="5"/>
  <c r="S129" i="5"/>
  <c r="T128" i="5" s="1"/>
  <c r="U126" i="5" s="1"/>
  <c r="U84" i="5"/>
  <c r="U83" i="5"/>
  <c r="U79" i="5"/>
  <c r="U82" i="5"/>
  <c r="U71" i="5"/>
  <c r="V96" i="5"/>
  <c r="T88" i="5"/>
  <c r="K85" i="5"/>
  <c r="U85" i="5" s="1"/>
  <c r="T198" i="4"/>
  <c r="U196" i="4" s="1"/>
  <c r="T186" i="4"/>
  <c r="U184" i="4" s="1"/>
  <c r="K167" i="4"/>
  <c r="U167" i="4" s="1"/>
  <c r="K166" i="4"/>
  <c r="U166" i="4" s="1"/>
  <c r="G162" i="4"/>
  <c r="K162" i="4" s="1"/>
  <c r="Q162" i="4" s="1"/>
  <c r="S162" i="4" s="1"/>
  <c r="T158" i="4"/>
  <c r="V141" i="4"/>
  <c r="B144" i="4" s="1"/>
  <c r="U83" i="4"/>
  <c r="U75" i="4"/>
  <c r="U78" i="4"/>
  <c r="U102" i="4"/>
  <c r="U76" i="4"/>
  <c r="K103" i="4"/>
  <c r="U103" i="4" s="1"/>
  <c r="S116" i="4"/>
  <c r="T116" i="4" s="1"/>
  <c r="U114" i="4" s="1"/>
  <c r="S129" i="4"/>
  <c r="T128" i="4" s="1"/>
  <c r="U126" i="4" s="1"/>
  <c r="U71" i="4"/>
  <c r="U99" i="4"/>
  <c r="V96" i="4" s="1"/>
  <c r="G110" i="4"/>
  <c r="K110" i="4" s="1"/>
  <c r="Q110" i="4" s="1"/>
  <c r="S110" i="4" s="1"/>
  <c r="T109" i="4" s="1"/>
  <c r="U79" i="4"/>
  <c r="Q92" i="4"/>
  <c r="S92" i="4" s="1"/>
  <c r="T88" i="4" s="1"/>
  <c r="S133" i="4"/>
  <c r="T134" i="4" s="1"/>
  <c r="U132" i="4" s="1"/>
  <c r="U82" i="4"/>
  <c r="T122" i="4"/>
  <c r="U120" i="4" s="1"/>
  <c r="K85" i="4"/>
  <c r="U85" i="4" s="1"/>
  <c r="G171" i="2"/>
  <c r="G173" i="2"/>
  <c r="G170" i="2"/>
  <c r="G169" i="2"/>
  <c r="G168" i="2"/>
  <c r="G167" i="2"/>
  <c r="G163" i="2"/>
  <c r="G162" i="2"/>
  <c r="G161" i="2"/>
  <c r="G160" i="2"/>
  <c r="G152" i="2"/>
  <c r="G153" i="2"/>
  <c r="G154" i="2"/>
  <c r="G155" i="2"/>
  <c r="G156" i="2"/>
  <c r="G157" i="2"/>
  <c r="G158" i="2"/>
  <c r="G159" i="2"/>
  <c r="G151" i="2"/>
  <c r="B178" i="10" l="1"/>
  <c r="B180" i="10"/>
  <c r="B96" i="10"/>
  <c r="V91" i="10"/>
  <c r="B94" i="10" s="1"/>
  <c r="B98" i="10"/>
  <c r="B144" i="5"/>
  <c r="B142" i="5" s="1"/>
  <c r="B78" i="5"/>
  <c r="B76" i="5"/>
  <c r="V71" i="5"/>
  <c r="B74" i="5" s="1"/>
  <c r="B148" i="4"/>
  <c r="V166" i="4"/>
  <c r="B146" i="4" s="1"/>
  <c r="B78" i="4"/>
  <c r="V71" i="4"/>
  <c r="B74" i="4" s="1"/>
  <c r="B76" i="4"/>
  <c r="U103" i="2"/>
  <c r="U104" i="2"/>
  <c r="U105" i="2"/>
  <c r="U106" i="2"/>
  <c r="O216" i="2"/>
  <c r="S216" i="2" s="1"/>
  <c r="L216" i="2"/>
  <c r="O215" i="2"/>
  <c r="S215" i="2" s="1"/>
  <c r="L215" i="2"/>
  <c r="O214" i="2"/>
  <c r="L214" i="2"/>
  <c r="S214" i="2" s="1"/>
  <c r="O213" i="2"/>
  <c r="L213" i="2"/>
  <c r="S213" i="2" s="1"/>
  <c r="S210" i="2"/>
  <c r="O210" i="2"/>
  <c r="L210" i="2"/>
  <c r="O209" i="2"/>
  <c r="L209" i="2"/>
  <c r="S209" i="2" s="1"/>
  <c r="S208" i="2"/>
  <c r="O208" i="2"/>
  <c r="L208" i="2"/>
  <c r="O207" i="2"/>
  <c r="L207" i="2"/>
  <c r="S207" i="2" s="1"/>
  <c r="O204" i="2"/>
  <c r="L204" i="2"/>
  <c r="S204" i="2" s="1"/>
  <c r="O203" i="2"/>
  <c r="S203" i="2" s="1"/>
  <c r="L203" i="2"/>
  <c r="O202" i="2"/>
  <c r="L202" i="2"/>
  <c r="S202" i="2" s="1"/>
  <c r="O201" i="2"/>
  <c r="L201" i="2"/>
  <c r="S201" i="2" s="1"/>
  <c r="O198" i="2"/>
  <c r="L198" i="2"/>
  <c r="S198" i="2" s="1"/>
  <c r="S197" i="2"/>
  <c r="O197" i="2"/>
  <c r="L197" i="2"/>
  <c r="S196" i="2"/>
  <c r="O196" i="2"/>
  <c r="L196" i="2"/>
  <c r="S195" i="2"/>
  <c r="O195" i="2"/>
  <c r="L195" i="2"/>
  <c r="O191" i="2"/>
  <c r="G191" i="2"/>
  <c r="K191" i="2" s="1"/>
  <c r="Q191" i="2" s="1"/>
  <c r="S191" i="2" s="1"/>
  <c r="O190" i="2"/>
  <c r="K190" i="2"/>
  <c r="Q190" i="2" s="1"/>
  <c r="S190" i="2" s="1"/>
  <c r="T190" i="2" s="1"/>
  <c r="G190" i="2"/>
  <c r="R187" i="2"/>
  <c r="N187" i="2"/>
  <c r="U187" i="2" s="1"/>
  <c r="K187" i="2"/>
  <c r="R186" i="2"/>
  <c r="N186" i="2"/>
  <c r="J186" i="2"/>
  <c r="G186" i="2"/>
  <c r="K186" i="2" s="1"/>
  <c r="U186" i="2" s="1"/>
  <c r="R185" i="2"/>
  <c r="N185" i="2"/>
  <c r="J185" i="2"/>
  <c r="K185" i="2" s="1"/>
  <c r="U185" i="2" s="1"/>
  <c r="G185" i="2"/>
  <c r="R184" i="2"/>
  <c r="N184" i="2"/>
  <c r="J184" i="2"/>
  <c r="G184" i="2"/>
  <c r="K184" i="2" s="1"/>
  <c r="U184" i="2" s="1"/>
  <c r="R183" i="2"/>
  <c r="N183" i="2"/>
  <c r="J183" i="2"/>
  <c r="G183" i="2"/>
  <c r="K183" i="2" s="1"/>
  <c r="U183" i="2" s="1"/>
  <c r="R182" i="2"/>
  <c r="N182" i="2"/>
  <c r="J182" i="2"/>
  <c r="G182" i="2"/>
  <c r="K182" i="2" s="1"/>
  <c r="U182" i="2" s="1"/>
  <c r="R181" i="2"/>
  <c r="N181" i="2"/>
  <c r="J181" i="2"/>
  <c r="G181" i="2"/>
  <c r="K181" i="2" s="1"/>
  <c r="U181" i="2" s="1"/>
  <c r="R180" i="2"/>
  <c r="N180" i="2"/>
  <c r="K180" i="2"/>
  <c r="U180" i="2" s="1"/>
  <c r="J180" i="2"/>
  <c r="G180" i="2"/>
  <c r="R179" i="2"/>
  <c r="N179" i="2"/>
  <c r="K179" i="2"/>
  <c r="U179" i="2" s="1"/>
  <c r="R178" i="2"/>
  <c r="N178" i="2"/>
  <c r="K178" i="2"/>
  <c r="U178" i="2" s="1"/>
  <c r="R177" i="2"/>
  <c r="N177" i="2"/>
  <c r="K177" i="2"/>
  <c r="O173" i="2"/>
  <c r="O172" i="2"/>
  <c r="G172" i="2"/>
  <c r="K172" i="2" s="1"/>
  <c r="Q172" i="2" s="1"/>
  <c r="S172" i="2" s="1"/>
  <c r="O171" i="2"/>
  <c r="K171" i="2"/>
  <c r="Q171" i="2" s="1"/>
  <c r="S171" i="2" s="1"/>
  <c r="O170" i="2"/>
  <c r="K170" i="2"/>
  <c r="Q170" i="2" s="1"/>
  <c r="S170" i="2" s="1"/>
  <c r="O169" i="2"/>
  <c r="K169" i="2"/>
  <c r="Q169" i="2" s="1"/>
  <c r="S169" i="2" s="1"/>
  <c r="O168" i="2"/>
  <c r="K168" i="2"/>
  <c r="Q168" i="2" s="1"/>
  <c r="S168" i="2" s="1"/>
  <c r="O167" i="2"/>
  <c r="K167" i="2"/>
  <c r="Q167" i="2" s="1"/>
  <c r="S167" i="2" s="1"/>
  <c r="R163" i="2"/>
  <c r="N163" i="2"/>
  <c r="K173" i="2"/>
  <c r="Q173" i="2" s="1"/>
  <c r="S173" i="2" s="1"/>
  <c r="R162" i="2"/>
  <c r="N162" i="2"/>
  <c r="K162" i="2"/>
  <c r="U162" i="2" s="1"/>
  <c r="R161" i="2"/>
  <c r="N161" i="2"/>
  <c r="K161" i="2"/>
  <c r="U161" i="2" s="1"/>
  <c r="R160" i="2"/>
  <c r="N160" i="2"/>
  <c r="K160" i="2"/>
  <c r="U160" i="2" s="1"/>
  <c r="R159" i="2"/>
  <c r="N159" i="2"/>
  <c r="K159" i="2"/>
  <c r="U159" i="2" s="1"/>
  <c r="U158" i="2"/>
  <c r="R158" i="2"/>
  <c r="N158" i="2"/>
  <c r="K158" i="2"/>
  <c r="R157" i="2"/>
  <c r="N157" i="2"/>
  <c r="K157" i="2"/>
  <c r="U157" i="2" s="1"/>
  <c r="R156" i="2"/>
  <c r="N156" i="2"/>
  <c r="K156" i="2"/>
  <c r="U156" i="2" s="1"/>
  <c r="R155" i="2"/>
  <c r="N155" i="2"/>
  <c r="K155" i="2"/>
  <c r="U155" i="2" s="1"/>
  <c r="R154" i="2"/>
  <c r="N154" i="2"/>
  <c r="K154" i="2"/>
  <c r="U154" i="2" s="1"/>
  <c r="R153" i="2"/>
  <c r="N153" i="2"/>
  <c r="K153" i="2"/>
  <c r="U153" i="2" s="1"/>
  <c r="R152" i="2"/>
  <c r="N152" i="2"/>
  <c r="K152" i="2"/>
  <c r="U152" i="2" s="1"/>
  <c r="R151" i="2"/>
  <c r="N151" i="2"/>
  <c r="K151" i="2"/>
  <c r="U151" i="2" s="1"/>
  <c r="N103" i="2"/>
  <c r="R103" i="2"/>
  <c r="K103" i="2"/>
  <c r="J103" i="2"/>
  <c r="O141" i="2"/>
  <c r="L141" i="2"/>
  <c r="S141" i="2" s="1"/>
  <c r="O140" i="2"/>
  <c r="L140" i="2"/>
  <c r="S140" i="2" s="1"/>
  <c r="O139" i="2"/>
  <c r="L139" i="2"/>
  <c r="S139" i="2" s="1"/>
  <c r="O138" i="2"/>
  <c r="L138" i="2"/>
  <c r="S138" i="2" s="1"/>
  <c r="O135" i="2"/>
  <c r="L135" i="2"/>
  <c r="O134" i="2"/>
  <c r="L134" i="2"/>
  <c r="S134" i="2" s="1"/>
  <c r="O133" i="2"/>
  <c r="L133" i="2"/>
  <c r="S133" i="2" s="1"/>
  <c r="S132" i="2"/>
  <c r="O132" i="2"/>
  <c r="L132" i="2"/>
  <c r="O129" i="2"/>
  <c r="L129" i="2"/>
  <c r="S129" i="2" s="1"/>
  <c r="O128" i="2"/>
  <c r="L128" i="2"/>
  <c r="S128" i="2" s="1"/>
  <c r="O127" i="2"/>
  <c r="L127" i="2"/>
  <c r="S127" i="2" s="1"/>
  <c r="O126" i="2"/>
  <c r="L126" i="2"/>
  <c r="S126" i="2" s="1"/>
  <c r="O123" i="2"/>
  <c r="L123" i="2"/>
  <c r="S123" i="2" s="1"/>
  <c r="O122" i="2"/>
  <c r="L122" i="2"/>
  <c r="O121" i="2"/>
  <c r="L121" i="2"/>
  <c r="O120" i="2"/>
  <c r="L120" i="2"/>
  <c r="S120" i="2" s="1"/>
  <c r="O116" i="2"/>
  <c r="G116" i="2"/>
  <c r="K116" i="2" s="1"/>
  <c r="Q116" i="2" s="1"/>
  <c r="S116" i="2" s="1"/>
  <c r="O115" i="2"/>
  <c r="G115" i="2"/>
  <c r="K115" i="2" s="1"/>
  <c r="Q115" i="2" s="1"/>
  <c r="S115" i="2" s="1"/>
  <c r="T115" i="2" s="1"/>
  <c r="R112" i="2"/>
  <c r="N112" i="2"/>
  <c r="K112" i="2"/>
  <c r="U112" i="2" s="1"/>
  <c r="R111" i="2"/>
  <c r="N111" i="2"/>
  <c r="J111" i="2"/>
  <c r="G111" i="2"/>
  <c r="K111" i="2" s="1"/>
  <c r="U111" i="2" s="1"/>
  <c r="R110" i="2"/>
  <c r="N110" i="2"/>
  <c r="J110" i="2"/>
  <c r="G110" i="2"/>
  <c r="K110" i="2" s="1"/>
  <c r="R109" i="2"/>
  <c r="N109" i="2"/>
  <c r="J109" i="2"/>
  <c r="G109" i="2"/>
  <c r="K109" i="2" s="1"/>
  <c r="U109" i="2" s="1"/>
  <c r="R108" i="2"/>
  <c r="N108" i="2"/>
  <c r="J108" i="2"/>
  <c r="G108" i="2"/>
  <c r="K108" i="2" s="1"/>
  <c r="U108" i="2" s="1"/>
  <c r="R107" i="2"/>
  <c r="N107" i="2"/>
  <c r="J107" i="2"/>
  <c r="K107" i="2" s="1"/>
  <c r="U107" i="2" s="1"/>
  <c r="G107" i="2"/>
  <c r="R106" i="2"/>
  <c r="N106" i="2"/>
  <c r="J106" i="2"/>
  <c r="G106" i="2"/>
  <c r="R105" i="2"/>
  <c r="N105" i="2"/>
  <c r="J105" i="2"/>
  <c r="G105" i="2"/>
  <c r="R104" i="2"/>
  <c r="N104" i="2"/>
  <c r="J104" i="2"/>
  <c r="G104" i="2"/>
  <c r="K104" i="2" s="1"/>
  <c r="R102" i="2"/>
  <c r="N102" i="2"/>
  <c r="J102" i="2"/>
  <c r="K102" i="2" s="1"/>
  <c r="U102" i="2" s="1"/>
  <c r="O98" i="2"/>
  <c r="O97" i="2"/>
  <c r="O96" i="2"/>
  <c r="G96" i="2"/>
  <c r="K96" i="2" s="1"/>
  <c r="Q96" i="2" s="1"/>
  <c r="S96" i="2" s="1"/>
  <c r="O95" i="2"/>
  <c r="G95" i="2"/>
  <c r="K95" i="2" s="1"/>
  <c r="Q95" i="2" s="1"/>
  <c r="S95" i="2" s="1"/>
  <c r="O94" i="2"/>
  <c r="G94" i="2"/>
  <c r="K94" i="2" s="1"/>
  <c r="Q94" i="2" s="1"/>
  <c r="S94" i="2" s="1"/>
  <c r="O93" i="2"/>
  <c r="G93" i="2"/>
  <c r="K93" i="2" s="1"/>
  <c r="Q93" i="2" s="1"/>
  <c r="S93" i="2" s="1"/>
  <c r="O92" i="2"/>
  <c r="G92" i="2"/>
  <c r="K92" i="2" s="1"/>
  <c r="Q92" i="2" s="1"/>
  <c r="S92" i="2" s="1"/>
  <c r="R88" i="2"/>
  <c r="N88" i="2"/>
  <c r="G88" i="2"/>
  <c r="K88" i="2" s="1"/>
  <c r="R87" i="2"/>
  <c r="N87" i="2"/>
  <c r="G87" i="2"/>
  <c r="K87" i="2" s="1"/>
  <c r="U87" i="2" s="1"/>
  <c r="R86" i="2"/>
  <c r="N86" i="2"/>
  <c r="G86" i="2"/>
  <c r="K86" i="2" s="1"/>
  <c r="R85" i="2"/>
  <c r="N85" i="2"/>
  <c r="G85" i="2"/>
  <c r="K85" i="2" s="1"/>
  <c r="U85" i="2" s="1"/>
  <c r="R84" i="2"/>
  <c r="N84" i="2"/>
  <c r="G84" i="2"/>
  <c r="K84" i="2" s="1"/>
  <c r="R83" i="2"/>
  <c r="N83" i="2"/>
  <c r="G83" i="2"/>
  <c r="K83" i="2" s="1"/>
  <c r="R82" i="2"/>
  <c r="N82" i="2"/>
  <c r="G82" i="2"/>
  <c r="K82" i="2" s="1"/>
  <c r="U82" i="2" s="1"/>
  <c r="R81" i="2"/>
  <c r="N81" i="2"/>
  <c r="G81" i="2"/>
  <c r="K81" i="2" s="1"/>
  <c r="R80" i="2"/>
  <c r="N80" i="2"/>
  <c r="G80" i="2"/>
  <c r="K80" i="2" s="1"/>
  <c r="U80" i="2" s="1"/>
  <c r="R79" i="2"/>
  <c r="N79" i="2"/>
  <c r="G79" i="2"/>
  <c r="K79" i="2" s="1"/>
  <c r="U79" i="2" s="1"/>
  <c r="R78" i="2"/>
  <c r="N78" i="2"/>
  <c r="G78" i="2"/>
  <c r="K78" i="2" s="1"/>
  <c r="U78" i="2" s="1"/>
  <c r="R77" i="2"/>
  <c r="N77" i="2"/>
  <c r="G77" i="2"/>
  <c r="K77" i="2" s="1"/>
  <c r="U77" i="2" s="1"/>
  <c r="R76" i="2"/>
  <c r="N76" i="2"/>
  <c r="G76" i="2"/>
  <c r="K76" i="2" s="1"/>
  <c r="U76" i="2" s="1"/>
  <c r="U6" i="10"/>
  <c r="U8" i="10"/>
  <c r="U23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U19" i="10" s="1"/>
  <c r="N20" i="10"/>
  <c r="U20" i="10" s="1"/>
  <c r="N21" i="10"/>
  <c r="N22" i="10"/>
  <c r="N23" i="10"/>
  <c r="N24" i="10"/>
  <c r="N25" i="10"/>
  <c r="N26" i="10"/>
  <c r="N27" i="10"/>
  <c r="N28" i="10"/>
  <c r="G27" i="10"/>
  <c r="K27" i="10" s="1"/>
  <c r="U27" i="10" s="1"/>
  <c r="G25" i="10"/>
  <c r="K25" i="10" s="1"/>
  <c r="U25" i="10" s="1"/>
  <c r="G23" i="10"/>
  <c r="K23" i="10" s="1"/>
  <c r="G21" i="10"/>
  <c r="K21" i="10" s="1"/>
  <c r="U21" i="10" s="1"/>
  <c r="G13" i="10"/>
  <c r="G14" i="10"/>
  <c r="G11" i="10"/>
  <c r="K11" i="10" s="1"/>
  <c r="U11" i="10" s="1"/>
  <c r="G12" i="10"/>
  <c r="K12" i="10" s="1"/>
  <c r="U12" i="10" s="1"/>
  <c r="G9" i="10"/>
  <c r="G10" i="10"/>
  <c r="G6" i="10"/>
  <c r="K6" i="10"/>
  <c r="K8" i="10"/>
  <c r="K9" i="10"/>
  <c r="U9" i="10" s="1"/>
  <c r="K10" i="10"/>
  <c r="U10" i="10" s="1"/>
  <c r="K13" i="10"/>
  <c r="U13" i="10" s="1"/>
  <c r="K14" i="10"/>
  <c r="U14" i="10" s="1"/>
  <c r="K15" i="10"/>
  <c r="U15" i="10" s="1"/>
  <c r="K19" i="10"/>
  <c r="K20" i="10"/>
  <c r="O77" i="10"/>
  <c r="L77" i="10"/>
  <c r="O76" i="10"/>
  <c r="L76" i="10"/>
  <c r="S76" i="10" s="1"/>
  <c r="O75" i="10"/>
  <c r="L75" i="10"/>
  <c r="O74" i="10"/>
  <c r="L74" i="10"/>
  <c r="S74" i="10" s="1"/>
  <c r="O71" i="10"/>
  <c r="L71" i="10"/>
  <c r="O70" i="10"/>
  <c r="L70" i="10"/>
  <c r="O69" i="10"/>
  <c r="L69" i="10"/>
  <c r="S69" i="10" s="1"/>
  <c r="O68" i="10"/>
  <c r="L68" i="10"/>
  <c r="O65" i="10"/>
  <c r="L65" i="10"/>
  <c r="O64" i="10"/>
  <c r="L64" i="10"/>
  <c r="S64" i="10" s="1"/>
  <c r="O63" i="10"/>
  <c r="L63" i="10"/>
  <c r="O62" i="10"/>
  <c r="L62" i="10"/>
  <c r="S62" i="10" s="1"/>
  <c r="O59" i="10"/>
  <c r="L59" i="10"/>
  <c r="O58" i="10"/>
  <c r="L58" i="10"/>
  <c r="O57" i="10"/>
  <c r="L57" i="10"/>
  <c r="O56" i="10"/>
  <c r="L56" i="10"/>
  <c r="O52" i="10"/>
  <c r="O51" i="10"/>
  <c r="G51" i="10"/>
  <c r="K51" i="10" s="1"/>
  <c r="R48" i="10"/>
  <c r="N48" i="10"/>
  <c r="K48" i="10"/>
  <c r="R47" i="10"/>
  <c r="N47" i="10"/>
  <c r="J47" i="10"/>
  <c r="G47" i="10"/>
  <c r="R46" i="10"/>
  <c r="N46" i="10"/>
  <c r="J46" i="10"/>
  <c r="G46" i="10"/>
  <c r="R45" i="10"/>
  <c r="N45" i="10"/>
  <c r="J45" i="10"/>
  <c r="G45" i="10"/>
  <c r="R44" i="10"/>
  <c r="N44" i="10"/>
  <c r="J44" i="10"/>
  <c r="G44" i="10"/>
  <c r="R43" i="10"/>
  <c r="N43" i="10"/>
  <c r="J43" i="10"/>
  <c r="G43" i="10"/>
  <c r="G52" i="10" s="1"/>
  <c r="K52" i="10" s="1"/>
  <c r="R42" i="10"/>
  <c r="N42" i="10"/>
  <c r="J42" i="10"/>
  <c r="G42" i="10"/>
  <c r="R41" i="10"/>
  <c r="N41" i="10"/>
  <c r="J41" i="10"/>
  <c r="G41" i="10"/>
  <c r="R40" i="10"/>
  <c r="N40" i="10"/>
  <c r="J40" i="10"/>
  <c r="G40" i="10"/>
  <c r="R39" i="10"/>
  <c r="N39" i="10"/>
  <c r="J39" i="10"/>
  <c r="K39" i="10" s="1"/>
  <c r="O35" i="10"/>
  <c r="O34" i="10"/>
  <c r="O33" i="10"/>
  <c r="G33" i="10"/>
  <c r="K33" i="10" s="1"/>
  <c r="O32" i="10"/>
  <c r="G32" i="10"/>
  <c r="K32" i="10" s="1"/>
  <c r="O31" i="10"/>
  <c r="G31" i="10"/>
  <c r="K31" i="10" s="1"/>
  <c r="G28" i="10"/>
  <c r="G35" i="10" s="1"/>
  <c r="K35" i="10" s="1"/>
  <c r="G26" i="10"/>
  <c r="K26" i="10" s="1"/>
  <c r="U26" i="10" s="1"/>
  <c r="G24" i="10"/>
  <c r="K24" i="10" s="1"/>
  <c r="U24" i="10" s="1"/>
  <c r="G22" i="10"/>
  <c r="K22" i="10" s="1"/>
  <c r="U22" i="10" s="1"/>
  <c r="G20" i="10"/>
  <c r="G19" i="10"/>
  <c r="G18" i="10"/>
  <c r="G34" i="10" s="1"/>
  <c r="K34" i="10" s="1"/>
  <c r="G17" i="10"/>
  <c r="K17" i="10" s="1"/>
  <c r="U17" i="10" s="1"/>
  <c r="G16" i="10"/>
  <c r="K16" i="10" s="1"/>
  <c r="U16" i="10" s="1"/>
  <c r="G15" i="10"/>
  <c r="G8" i="10"/>
  <c r="G7" i="10"/>
  <c r="K7" i="10" s="1"/>
  <c r="U7" i="10" s="1"/>
  <c r="G5" i="10"/>
  <c r="K5" i="10" s="1"/>
  <c r="U5" i="10" s="1"/>
  <c r="G4" i="10"/>
  <c r="K4" i="10" s="1"/>
  <c r="G3" i="10"/>
  <c r="K3" i="10" s="1"/>
  <c r="R2" i="10"/>
  <c r="N2" i="10"/>
  <c r="G2" i="10"/>
  <c r="K2" i="10" s="1"/>
  <c r="O69" i="8"/>
  <c r="L69" i="8"/>
  <c r="S69" i="8" s="1"/>
  <c r="O68" i="8"/>
  <c r="L68" i="8"/>
  <c r="S68" i="8" s="1"/>
  <c r="O67" i="8"/>
  <c r="S67" i="8" s="1"/>
  <c r="L67" i="8"/>
  <c r="O66" i="8"/>
  <c r="L66" i="8"/>
  <c r="S66" i="8" s="1"/>
  <c r="T68" i="8" s="1"/>
  <c r="U66" i="8" s="1"/>
  <c r="O63" i="8"/>
  <c r="S63" i="8" s="1"/>
  <c r="L63" i="8"/>
  <c r="O62" i="8"/>
  <c r="L62" i="8"/>
  <c r="S62" i="8" s="1"/>
  <c r="O61" i="8"/>
  <c r="L61" i="8"/>
  <c r="S61" i="8" s="1"/>
  <c r="O60" i="8"/>
  <c r="L60" i="8"/>
  <c r="S60" i="8" s="1"/>
  <c r="O57" i="8"/>
  <c r="L57" i="8"/>
  <c r="S57" i="8" s="1"/>
  <c r="O56" i="8"/>
  <c r="L56" i="8"/>
  <c r="S56" i="8" s="1"/>
  <c r="O55" i="8"/>
  <c r="L55" i="8"/>
  <c r="S55" i="8" s="1"/>
  <c r="O54" i="8"/>
  <c r="S54" i="8" s="1"/>
  <c r="T56" i="8" s="1"/>
  <c r="U54" i="8" s="1"/>
  <c r="L54" i="8"/>
  <c r="O51" i="8"/>
  <c r="L51" i="8"/>
  <c r="S51" i="8" s="1"/>
  <c r="O50" i="8"/>
  <c r="S50" i="8" s="1"/>
  <c r="L50" i="8"/>
  <c r="O49" i="8"/>
  <c r="L49" i="8"/>
  <c r="S49" i="8" s="1"/>
  <c r="O48" i="8"/>
  <c r="L48" i="8"/>
  <c r="S48" i="8" s="1"/>
  <c r="O44" i="8"/>
  <c r="O43" i="8"/>
  <c r="G43" i="8"/>
  <c r="K43" i="8" s="1"/>
  <c r="Q43" i="8" s="1"/>
  <c r="S43" i="8" s="1"/>
  <c r="R40" i="8"/>
  <c r="N40" i="8"/>
  <c r="K40" i="8"/>
  <c r="U40" i="8" s="1"/>
  <c r="R39" i="8"/>
  <c r="N39" i="8"/>
  <c r="J39" i="8"/>
  <c r="G39" i="8"/>
  <c r="K39" i="8" s="1"/>
  <c r="U39" i="8" s="1"/>
  <c r="R38" i="8"/>
  <c r="N38" i="8"/>
  <c r="J38" i="8"/>
  <c r="G38" i="8"/>
  <c r="K38" i="8" s="1"/>
  <c r="U38" i="8" s="1"/>
  <c r="R37" i="8"/>
  <c r="N37" i="8"/>
  <c r="J37" i="8"/>
  <c r="G37" i="8"/>
  <c r="K37" i="8" s="1"/>
  <c r="U37" i="8" s="1"/>
  <c r="R36" i="8"/>
  <c r="N36" i="8"/>
  <c r="J36" i="8"/>
  <c r="G36" i="8"/>
  <c r="K36" i="8" s="1"/>
  <c r="U36" i="8" s="1"/>
  <c r="R35" i="8"/>
  <c r="N35" i="8"/>
  <c r="J35" i="8"/>
  <c r="G35" i="8"/>
  <c r="K35" i="8" s="1"/>
  <c r="U35" i="8" s="1"/>
  <c r="R34" i="8"/>
  <c r="N34" i="8"/>
  <c r="K34" i="8"/>
  <c r="U34" i="8" s="1"/>
  <c r="J34" i="8"/>
  <c r="G34" i="8"/>
  <c r="R33" i="8"/>
  <c r="N33" i="8"/>
  <c r="J33" i="8"/>
  <c r="K33" i="8" s="1"/>
  <c r="U33" i="8" s="1"/>
  <c r="G33" i="8"/>
  <c r="R32" i="8"/>
  <c r="N32" i="8"/>
  <c r="J32" i="8"/>
  <c r="G32" i="8"/>
  <c r="K32" i="8" s="1"/>
  <c r="U32" i="8" s="1"/>
  <c r="R31" i="8"/>
  <c r="N31" i="8"/>
  <c r="J31" i="8"/>
  <c r="K31" i="8" s="1"/>
  <c r="U31" i="8" s="1"/>
  <c r="O27" i="8"/>
  <c r="O26" i="8"/>
  <c r="G26" i="8"/>
  <c r="K26" i="8" s="1"/>
  <c r="Q26" i="8" s="1"/>
  <c r="S26" i="8" s="1"/>
  <c r="O25" i="8"/>
  <c r="G25" i="8"/>
  <c r="K25" i="8" s="1"/>
  <c r="Q25" i="8" s="1"/>
  <c r="S25" i="8" s="1"/>
  <c r="O24" i="8"/>
  <c r="K24" i="8"/>
  <c r="Q24" i="8" s="1"/>
  <c r="S24" i="8" s="1"/>
  <c r="G24" i="8"/>
  <c r="O23" i="8"/>
  <c r="G23" i="8"/>
  <c r="K23" i="8" s="1"/>
  <c r="Q23" i="8" s="1"/>
  <c r="S23" i="8" s="1"/>
  <c r="R20" i="8"/>
  <c r="N20" i="8"/>
  <c r="G20" i="8"/>
  <c r="G27" i="8" s="1"/>
  <c r="K27" i="8" s="1"/>
  <c r="Q27" i="8" s="1"/>
  <c r="S27" i="8" s="1"/>
  <c r="R19" i="8"/>
  <c r="N19" i="8"/>
  <c r="K19" i="8"/>
  <c r="U19" i="8" s="1"/>
  <c r="G19" i="8"/>
  <c r="R18" i="8"/>
  <c r="N18" i="8"/>
  <c r="G18" i="8"/>
  <c r="K18" i="8" s="1"/>
  <c r="U18" i="8" s="1"/>
  <c r="R17" i="8"/>
  <c r="N17" i="8"/>
  <c r="G17" i="8"/>
  <c r="K17" i="8" s="1"/>
  <c r="U17" i="8" s="1"/>
  <c r="R16" i="8"/>
  <c r="N16" i="8"/>
  <c r="G16" i="8"/>
  <c r="K16" i="8" s="1"/>
  <c r="U16" i="8" s="1"/>
  <c r="R15" i="8"/>
  <c r="N15" i="8"/>
  <c r="G15" i="8"/>
  <c r="K15" i="8" s="1"/>
  <c r="U15" i="8" s="1"/>
  <c r="R14" i="8"/>
  <c r="N14" i="8"/>
  <c r="K14" i="8"/>
  <c r="U14" i="8" s="1"/>
  <c r="G14" i="8"/>
  <c r="R13" i="8"/>
  <c r="N13" i="8"/>
  <c r="G13" i="8"/>
  <c r="K13" i="8" s="1"/>
  <c r="U13" i="8" s="1"/>
  <c r="R12" i="8"/>
  <c r="N12" i="8"/>
  <c r="G12" i="8"/>
  <c r="K12" i="8" s="1"/>
  <c r="U12" i="8" s="1"/>
  <c r="R11" i="8"/>
  <c r="N11" i="8"/>
  <c r="G11" i="8"/>
  <c r="K11" i="8" s="1"/>
  <c r="U11" i="8" s="1"/>
  <c r="R10" i="8"/>
  <c r="N10" i="8"/>
  <c r="G10" i="8"/>
  <c r="K10" i="8" s="1"/>
  <c r="U10" i="8" s="1"/>
  <c r="R9" i="8"/>
  <c r="N9" i="8"/>
  <c r="G9" i="8"/>
  <c r="K9" i="8" s="1"/>
  <c r="U9" i="8" s="1"/>
  <c r="R8" i="8"/>
  <c r="N8" i="8"/>
  <c r="K8" i="8"/>
  <c r="U8" i="8" s="1"/>
  <c r="G8" i="8"/>
  <c r="R7" i="8"/>
  <c r="N7" i="8"/>
  <c r="G7" i="8"/>
  <c r="K7" i="8" s="1"/>
  <c r="U7" i="8" s="1"/>
  <c r="R6" i="8"/>
  <c r="N6" i="8"/>
  <c r="G6" i="8"/>
  <c r="K6" i="8" s="1"/>
  <c r="U6" i="8" s="1"/>
  <c r="R5" i="8"/>
  <c r="N5" i="8"/>
  <c r="G5" i="8"/>
  <c r="K5" i="8" s="1"/>
  <c r="U5" i="8" s="1"/>
  <c r="R4" i="8"/>
  <c r="N4" i="8"/>
  <c r="U4" i="8" s="1"/>
  <c r="K4" i="8"/>
  <c r="G4" i="8"/>
  <c r="R3" i="8"/>
  <c r="N3" i="8"/>
  <c r="G3" i="8"/>
  <c r="K3" i="8" s="1"/>
  <c r="U3" i="8" s="1"/>
  <c r="R2" i="8"/>
  <c r="N2" i="8"/>
  <c r="G2" i="8"/>
  <c r="K2" i="8" s="1"/>
  <c r="U2" i="8" s="1"/>
  <c r="B7" i="7"/>
  <c r="U3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N3" i="7"/>
  <c r="N4" i="7"/>
  <c r="U4" i="7" s="1"/>
  <c r="V2" i="7" s="1"/>
  <c r="B5" i="7" s="1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G16" i="7"/>
  <c r="G12" i="7"/>
  <c r="G7" i="7"/>
  <c r="G3" i="7"/>
  <c r="O69" i="7"/>
  <c r="L69" i="7"/>
  <c r="O68" i="7"/>
  <c r="L68" i="7"/>
  <c r="O67" i="7"/>
  <c r="L67" i="7"/>
  <c r="S67" i="7" s="1"/>
  <c r="O66" i="7"/>
  <c r="L66" i="7"/>
  <c r="S66" i="7" s="1"/>
  <c r="O63" i="7"/>
  <c r="L63" i="7"/>
  <c r="O62" i="7"/>
  <c r="L62" i="7"/>
  <c r="S62" i="7" s="1"/>
  <c r="O61" i="7"/>
  <c r="L61" i="7"/>
  <c r="S61" i="7" s="1"/>
  <c r="O60" i="7"/>
  <c r="L60" i="7"/>
  <c r="O57" i="7"/>
  <c r="L57" i="7"/>
  <c r="O56" i="7"/>
  <c r="L56" i="7"/>
  <c r="S56" i="7" s="1"/>
  <c r="O55" i="7"/>
  <c r="L55" i="7"/>
  <c r="O54" i="7"/>
  <c r="L54" i="7"/>
  <c r="S54" i="7" s="1"/>
  <c r="O51" i="7"/>
  <c r="L51" i="7"/>
  <c r="O50" i="7"/>
  <c r="L50" i="7"/>
  <c r="O49" i="7"/>
  <c r="L49" i="7"/>
  <c r="O48" i="7"/>
  <c r="L48" i="7"/>
  <c r="O44" i="7"/>
  <c r="O43" i="7"/>
  <c r="G43" i="7"/>
  <c r="K43" i="7" s="1"/>
  <c r="R40" i="7"/>
  <c r="N40" i="7"/>
  <c r="K40" i="7"/>
  <c r="R39" i="7"/>
  <c r="N39" i="7"/>
  <c r="J39" i="7"/>
  <c r="G39" i="7"/>
  <c r="R38" i="7"/>
  <c r="N38" i="7"/>
  <c r="J38" i="7"/>
  <c r="G38" i="7"/>
  <c r="K38" i="7" s="1"/>
  <c r="R37" i="7"/>
  <c r="N37" i="7"/>
  <c r="J37" i="7"/>
  <c r="G37" i="7"/>
  <c r="R36" i="7"/>
  <c r="N36" i="7"/>
  <c r="J36" i="7"/>
  <c r="G36" i="7"/>
  <c r="R35" i="7"/>
  <c r="N35" i="7"/>
  <c r="J35" i="7"/>
  <c r="G35" i="7"/>
  <c r="G44" i="7" s="1"/>
  <c r="K44" i="7" s="1"/>
  <c r="R34" i="7"/>
  <c r="N34" i="7"/>
  <c r="J34" i="7"/>
  <c r="G34" i="7"/>
  <c r="K34" i="7" s="1"/>
  <c r="R33" i="7"/>
  <c r="N33" i="7"/>
  <c r="J33" i="7"/>
  <c r="G33" i="7"/>
  <c r="R32" i="7"/>
  <c r="N32" i="7"/>
  <c r="J32" i="7"/>
  <c r="G32" i="7"/>
  <c r="R31" i="7"/>
  <c r="N31" i="7"/>
  <c r="J31" i="7"/>
  <c r="K31" i="7" s="1"/>
  <c r="O27" i="7"/>
  <c r="O26" i="7"/>
  <c r="O25" i="7"/>
  <c r="G25" i="7"/>
  <c r="K25" i="7" s="1"/>
  <c r="Q25" i="7" s="1"/>
  <c r="S25" i="7" s="1"/>
  <c r="O24" i="7"/>
  <c r="G24" i="7"/>
  <c r="K24" i="7" s="1"/>
  <c r="O23" i="7"/>
  <c r="G23" i="7"/>
  <c r="K23" i="7" s="1"/>
  <c r="R20" i="7"/>
  <c r="N20" i="7"/>
  <c r="G20" i="7"/>
  <c r="G27" i="7" s="1"/>
  <c r="K27" i="7" s="1"/>
  <c r="R19" i="7"/>
  <c r="N19" i="7"/>
  <c r="G19" i="7"/>
  <c r="G18" i="7"/>
  <c r="G17" i="7"/>
  <c r="G15" i="7"/>
  <c r="G14" i="7"/>
  <c r="G26" i="7" s="1"/>
  <c r="K26" i="7" s="1"/>
  <c r="G13" i="7"/>
  <c r="G11" i="7"/>
  <c r="G10" i="7"/>
  <c r="G9" i="7"/>
  <c r="G8" i="7"/>
  <c r="G6" i="7"/>
  <c r="G5" i="7"/>
  <c r="G4" i="7"/>
  <c r="R2" i="7"/>
  <c r="N2" i="7"/>
  <c r="G2" i="7"/>
  <c r="K2" i="7" s="1"/>
  <c r="O65" i="6"/>
  <c r="L65" i="6"/>
  <c r="S65" i="6" s="1"/>
  <c r="O64" i="6"/>
  <c r="L64" i="6"/>
  <c r="S64" i="6" s="1"/>
  <c r="O63" i="6"/>
  <c r="L63" i="6"/>
  <c r="S63" i="6" s="1"/>
  <c r="O62" i="6"/>
  <c r="L62" i="6"/>
  <c r="S62" i="6" s="1"/>
  <c r="T64" i="6" s="1"/>
  <c r="U62" i="6" s="1"/>
  <c r="S59" i="6"/>
  <c r="O59" i="6"/>
  <c r="L59" i="6"/>
  <c r="O58" i="6"/>
  <c r="L58" i="6"/>
  <c r="S58" i="6" s="1"/>
  <c r="O57" i="6"/>
  <c r="L57" i="6"/>
  <c r="S57" i="6" s="1"/>
  <c r="O56" i="6"/>
  <c r="L56" i="6"/>
  <c r="S56" i="6" s="1"/>
  <c r="O53" i="6"/>
  <c r="L53" i="6"/>
  <c r="S53" i="6" s="1"/>
  <c r="S52" i="6"/>
  <c r="O52" i="6"/>
  <c r="L52" i="6"/>
  <c r="O51" i="6"/>
  <c r="L51" i="6"/>
  <c r="S51" i="6" s="1"/>
  <c r="O50" i="6"/>
  <c r="L50" i="6"/>
  <c r="S50" i="6" s="1"/>
  <c r="O47" i="6"/>
  <c r="L47" i="6"/>
  <c r="S47" i="6" s="1"/>
  <c r="S46" i="6"/>
  <c r="O46" i="6"/>
  <c r="L46" i="6"/>
  <c r="O45" i="6"/>
  <c r="L45" i="6"/>
  <c r="S45" i="6" s="1"/>
  <c r="O44" i="6"/>
  <c r="L44" i="6"/>
  <c r="S44" i="6" s="1"/>
  <c r="O40" i="6"/>
  <c r="G40" i="6"/>
  <c r="K40" i="6" s="1"/>
  <c r="Q40" i="6" s="1"/>
  <c r="S40" i="6" s="1"/>
  <c r="O39" i="6"/>
  <c r="G39" i="6"/>
  <c r="K39" i="6" s="1"/>
  <c r="Q39" i="6" s="1"/>
  <c r="S39" i="6" s="1"/>
  <c r="T39" i="6" s="1"/>
  <c r="R36" i="6"/>
  <c r="N36" i="6"/>
  <c r="K36" i="6"/>
  <c r="U36" i="6" s="1"/>
  <c r="R35" i="6"/>
  <c r="N35" i="6"/>
  <c r="J35" i="6"/>
  <c r="G35" i="6"/>
  <c r="K35" i="6" s="1"/>
  <c r="U35" i="6" s="1"/>
  <c r="R34" i="6"/>
  <c r="N34" i="6"/>
  <c r="U34" i="6" s="1"/>
  <c r="K34" i="6"/>
  <c r="J34" i="6"/>
  <c r="G34" i="6"/>
  <c r="R33" i="6"/>
  <c r="N33" i="6"/>
  <c r="J33" i="6"/>
  <c r="G33" i="6"/>
  <c r="K33" i="6" s="1"/>
  <c r="U33" i="6" s="1"/>
  <c r="R32" i="6"/>
  <c r="N32" i="6"/>
  <c r="J32" i="6"/>
  <c r="G32" i="6"/>
  <c r="K32" i="6" s="1"/>
  <c r="U32" i="6" s="1"/>
  <c r="R31" i="6"/>
  <c r="N31" i="6"/>
  <c r="J31" i="6"/>
  <c r="G31" i="6"/>
  <c r="K31" i="6" s="1"/>
  <c r="U31" i="6" s="1"/>
  <c r="R30" i="6"/>
  <c r="N30" i="6"/>
  <c r="J30" i="6"/>
  <c r="G30" i="6"/>
  <c r="K30" i="6" s="1"/>
  <c r="U30" i="6" s="1"/>
  <c r="R29" i="6"/>
  <c r="N29" i="6"/>
  <c r="K29" i="6"/>
  <c r="U29" i="6" s="1"/>
  <c r="J29" i="6"/>
  <c r="G29" i="6"/>
  <c r="R28" i="6"/>
  <c r="N28" i="6"/>
  <c r="J28" i="6"/>
  <c r="G28" i="6"/>
  <c r="K28" i="6" s="1"/>
  <c r="U28" i="6" s="1"/>
  <c r="R27" i="6"/>
  <c r="N27" i="6"/>
  <c r="J27" i="6"/>
  <c r="K27" i="6" s="1"/>
  <c r="U27" i="6" s="1"/>
  <c r="O23" i="6"/>
  <c r="O22" i="6"/>
  <c r="G22" i="6"/>
  <c r="K22" i="6" s="1"/>
  <c r="Q22" i="6" s="1"/>
  <c r="S22" i="6" s="1"/>
  <c r="O21" i="6"/>
  <c r="G21" i="6"/>
  <c r="K21" i="6" s="1"/>
  <c r="Q21" i="6" s="1"/>
  <c r="S21" i="6" s="1"/>
  <c r="O20" i="6"/>
  <c r="K20" i="6"/>
  <c r="Q20" i="6" s="1"/>
  <c r="S20" i="6" s="1"/>
  <c r="G20" i="6"/>
  <c r="O19" i="6"/>
  <c r="G19" i="6"/>
  <c r="K19" i="6" s="1"/>
  <c r="Q19" i="6" s="1"/>
  <c r="S19" i="6" s="1"/>
  <c r="R16" i="6"/>
  <c r="N16" i="6"/>
  <c r="G16" i="6"/>
  <c r="G23" i="6" s="1"/>
  <c r="K23" i="6" s="1"/>
  <c r="Q23" i="6" s="1"/>
  <c r="S23" i="6" s="1"/>
  <c r="R15" i="6"/>
  <c r="N15" i="6"/>
  <c r="K15" i="6"/>
  <c r="U15" i="6" s="1"/>
  <c r="G15" i="6"/>
  <c r="R14" i="6"/>
  <c r="N14" i="6"/>
  <c r="K14" i="6"/>
  <c r="U14" i="6" s="1"/>
  <c r="G14" i="6"/>
  <c r="R13" i="6"/>
  <c r="N13" i="6"/>
  <c r="G13" i="6"/>
  <c r="K13" i="6" s="1"/>
  <c r="U13" i="6" s="1"/>
  <c r="R12" i="6"/>
  <c r="N12" i="6"/>
  <c r="G12" i="6"/>
  <c r="K12" i="6" s="1"/>
  <c r="U12" i="6" s="1"/>
  <c r="R11" i="6"/>
  <c r="N11" i="6"/>
  <c r="G11" i="6"/>
  <c r="K11" i="6" s="1"/>
  <c r="U11" i="6" s="1"/>
  <c r="R10" i="6"/>
  <c r="N10" i="6"/>
  <c r="G10" i="6"/>
  <c r="K10" i="6" s="1"/>
  <c r="U10" i="6" s="1"/>
  <c r="R9" i="6"/>
  <c r="N9" i="6"/>
  <c r="G9" i="6"/>
  <c r="K9" i="6" s="1"/>
  <c r="U9" i="6" s="1"/>
  <c r="R8" i="6"/>
  <c r="N8" i="6"/>
  <c r="K8" i="6"/>
  <c r="U8" i="6" s="1"/>
  <c r="G8" i="6"/>
  <c r="R7" i="6"/>
  <c r="N7" i="6"/>
  <c r="G7" i="6"/>
  <c r="K7" i="6" s="1"/>
  <c r="U7" i="6" s="1"/>
  <c r="R6" i="6"/>
  <c r="N6" i="6"/>
  <c r="K6" i="6"/>
  <c r="G6" i="6"/>
  <c r="R5" i="6"/>
  <c r="N5" i="6"/>
  <c r="G5" i="6"/>
  <c r="K5" i="6" s="1"/>
  <c r="U5" i="6" s="1"/>
  <c r="R4" i="6"/>
  <c r="N4" i="6"/>
  <c r="G4" i="6"/>
  <c r="K4" i="6" s="1"/>
  <c r="U4" i="6" s="1"/>
  <c r="R3" i="6"/>
  <c r="N3" i="6"/>
  <c r="G3" i="6"/>
  <c r="K3" i="6" s="1"/>
  <c r="U3" i="6" s="1"/>
  <c r="R2" i="6"/>
  <c r="N2" i="6"/>
  <c r="G2" i="6"/>
  <c r="K2" i="6" s="1"/>
  <c r="U2" i="6" s="1"/>
  <c r="O65" i="5"/>
  <c r="L65" i="5"/>
  <c r="O64" i="5"/>
  <c r="L64" i="5"/>
  <c r="S64" i="5" s="1"/>
  <c r="O63" i="5"/>
  <c r="L63" i="5"/>
  <c r="S63" i="5" s="1"/>
  <c r="O62" i="5"/>
  <c r="L62" i="5"/>
  <c r="S62" i="5" s="1"/>
  <c r="O59" i="5"/>
  <c r="L59" i="5"/>
  <c r="O58" i="5"/>
  <c r="S58" i="5" s="1"/>
  <c r="L58" i="5"/>
  <c r="O57" i="5"/>
  <c r="L57" i="5"/>
  <c r="S57" i="5" s="1"/>
  <c r="O56" i="5"/>
  <c r="L56" i="5"/>
  <c r="S56" i="5" s="1"/>
  <c r="O53" i="5"/>
  <c r="L53" i="5"/>
  <c r="O52" i="5"/>
  <c r="L52" i="5"/>
  <c r="S52" i="5" s="1"/>
  <c r="O51" i="5"/>
  <c r="L51" i="5"/>
  <c r="S51" i="5" s="1"/>
  <c r="O50" i="5"/>
  <c r="L50" i="5"/>
  <c r="S50" i="5" s="1"/>
  <c r="O47" i="5"/>
  <c r="L47" i="5"/>
  <c r="S47" i="5" s="1"/>
  <c r="O46" i="5"/>
  <c r="S46" i="5" s="1"/>
  <c r="L46" i="5"/>
  <c r="O45" i="5"/>
  <c r="L45" i="5"/>
  <c r="S45" i="5" s="1"/>
  <c r="O44" i="5"/>
  <c r="L44" i="5"/>
  <c r="S44" i="5" s="1"/>
  <c r="O40" i="5"/>
  <c r="O39" i="5"/>
  <c r="G39" i="5"/>
  <c r="K39" i="5" s="1"/>
  <c r="Q39" i="5" s="1"/>
  <c r="S39" i="5" s="1"/>
  <c r="R36" i="5"/>
  <c r="N36" i="5"/>
  <c r="K36" i="5"/>
  <c r="U36" i="5" s="1"/>
  <c r="R35" i="5"/>
  <c r="N35" i="5"/>
  <c r="J35" i="5"/>
  <c r="G35" i="5"/>
  <c r="R34" i="5"/>
  <c r="N34" i="5"/>
  <c r="J34" i="5"/>
  <c r="G34" i="5"/>
  <c r="K34" i="5" s="1"/>
  <c r="U34" i="5" s="1"/>
  <c r="R33" i="5"/>
  <c r="N33" i="5"/>
  <c r="J33" i="5"/>
  <c r="G33" i="5"/>
  <c r="K33" i="5" s="1"/>
  <c r="R32" i="5"/>
  <c r="N32" i="5"/>
  <c r="J32" i="5"/>
  <c r="G32" i="5"/>
  <c r="K32" i="5" s="1"/>
  <c r="U32" i="5" s="1"/>
  <c r="R31" i="5"/>
  <c r="N31" i="5"/>
  <c r="J31" i="5"/>
  <c r="K31" i="5" s="1"/>
  <c r="U31" i="5" s="1"/>
  <c r="G31" i="5"/>
  <c r="G40" i="5" s="1"/>
  <c r="K40" i="5" s="1"/>
  <c r="Q40" i="5" s="1"/>
  <c r="S40" i="5" s="1"/>
  <c r="R30" i="5"/>
  <c r="N30" i="5"/>
  <c r="J30" i="5"/>
  <c r="G30" i="5"/>
  <c r="K30" i="5" s="1"/>
  <c r="U30" i="5" s="1"/>
  <c r="R29" i="5"/>
  <c r="N29" i="5"/>
  <c r="J29" i="5"/>
  <c r="G29" i="5"/>
  <c r="R28" i="5"/>
  <c r="N28" i="5"/>
  <c r="J28" i="5"/>
  <c r="G28" i="5"/>
  <c r="K28" i="5" s="1"/>
  <c r="U28" i="5" s="1"/>
  <c r="R27" i="5"/>
  <c r="N27" i="5"/>
  <c r="J27" i="5"/>
  <c r="K27" i="5" s="1"/>
  <c r="U27" i="5" s="1"/>
  <c r="O23" i="5"/>
  <c r="O22" i="5"/>
  <c r="O21" i="5"/>
  <c r="G21" i="5"/>
  <c r="K21" i="5" s="1"/>
  <c r="Q21" i="5" s="1"/>
  <c r="S21" i="5" s="1"/>
  <c r="O20" i="5"/>
  <c r="G20" i="5"/>
  <c r="K20" i="5" s="1"/>
  <c r="Q20" i="5" s="1"/>
  <c r="S20" i="5" s="1"/>
  <c r="O19" i="5"/>
  <c r="G19" i="5"/>
  <c r="K19" i="5" s="1"/>
  <c r="Q19" i="5" s="1"/>
  <c r="S19" i="5" s="1"/>
  <c r="R16" i="5"/>
  <c r="N16" i="5"/>
  <c r="G16" i="5"/>
  <c r="G23" i="5" s="1"/>
  <c r="K23" i="5" s="1"/>
  <c r="Q23" i="5" s="1"/>
  <c r="S23" i="5" s="1"/>
  <c r="R15" i="5"/>
  <c r="N15" i="5"/>
  <c r="K15" i="5"/>
  <c r="U15" i="5" s="1"/>
  <c r="G15" i="5"/>
  <c r="R14" i="5"/>
  <c r="N14" i="5"/>
  <c r="G14" i="5"/>
  <c r="K14" i="5" s="1"/>
  <c r="U14" i="5" s="1"/>
  <c r="R13" i="5"/>
  <c r="N13" i="5"/>
  <c r="G13" i="5"/>
  <c r="K13" i="5" s="1"/>
  <c r="R12" i="5"/>
  <c r="N12" i="5"/>
  <c r="G12" i="5"/>
  <c r="K12" i="5" s="1"/>
  <c r="R11" i="5"/>
  <c r="N11" i="5"/>
  <c r="G11" i="5"/>
  <c r="G22" i="5" s="1"/>
  <c r="K22" i="5" s="1"/>
  <c r="Q22" i="5" s="1"/>
  <c r="S22" i="5" s="1"/>
  <c r="R10" i="5"/>
  <c r="N10" i="5"/>
  <c r="G10" i="5"/>
  <c r="K10" i="5" s="1"/>
  <c r="R9" i="5"/>
  <c r="N9" i="5"/>
  <c r="G9" i="5"/>
  <c r="K9" i="5" s="1"/>
  <c r="U9" i="5" s="1"/>
  <c r="R8" i="5"/>
  <c r="N8" i="5"/>
  <c r="G8" i="5"/>
  <c r="K8" i="5" s="1"/>
  <c r="R7" i="5"/>
  <c r="N7" i="5"/>
  <c r="G7" i="5"/>
  <c r="K7" i="5" s="1"/>
  <c r="U7" i="5" s="1"/>
  <c r="R6" i="5"/>
  <c r="N6" i="5"/>
  <c r="G6" i="5"/>
  <c r="K6" i="5" s="1"/>
  <c r="U6" i="5" s="1"/>
  <c r="R5" i="5"/>
  <c r="N5" i="5"/>
  <c r="G5" i="5"/>
  <c r="K5" i="5" s="1"/>
  <c r="R4" i="5"/>
  <c r="N4" i="5"/>
  <c r="G4" i="5"/>
  <c r="K4" i="5" s="1"/>
  <c r="R3" i="5"/>
  <c r="N3" i="5"/>
  <c r="G3" i="5"/>
  <c r="K3" i="5" s="1"/>
  <c r="U3" i="5" s="1"/>
  <c r="R2" i="5"/>
  <c r="N2" i="5"/>
  <c r="G2" i="5"/>
  <c r="K2" i="5" s="1"/>
  <c r="U2" i="5" s="1"/>
  <c r="O65" i="4"/>
  <c r="L65" i="4"/>
  <c r="S65" i="4" s="1"/>
  <c r="O64" i="4"/>
  <c r="L64" i="4"/>
  <c r="S64" i="4" s="1"/>
  <c r="O63" i="4"/>
  <c r="L63" i="4"/>
  <c r="S63" i="4" s="1"/>
  <c r="O62" i="4"/>
  <c r="L62" i="4"/>
  <c r="S62" i="4" s="1"/>
  <c r="T64" i="4" s="1"/>
  <c r="U62" i="4" s="1"/>
  <c r="O59" i="4"/>
  <c r="L59" i="4"/>
  <c r="O58" i="4"/>
  <c r="L58" i="4"/>
  <c r="S58" i="4" s="1"/>
  <c r="O57" i="4"/>
  <c r="L57" i="4"/>
  <c r="S57" i="4" s="1"/>
  <c r="O56" i="4"/>
  <c r="L56" i="4"/>
  <c r="S56" i="4" s="1"/>
  <c r="O53" i="4"/>
  <c r="L53" i="4"/>
  <c r="S53" i="4" s="1"/>
  <c r="O52" i="4"/>
  <c r="L52" i="4"/>
  <c r="S52" i="4" s="1"/>
  <c r="O51" i="4"/>
  <c r="L51" i="4"/>
  <c r="O50" i="4"/>
  <c r="L50" i="4"/>
  <c r="S50" i="4" s="1"/>
  <c r="O47" i="4"/>
  <c r="L47" i="4"/>
  <c r="O46" i="4"/>
  <c r="L46" i="4"/>
  <c r="O45" i="4"/>
  <c r="L45" i="4"/>
  <c r="S45" i="4" s="1"/>
  <c r="O44" i="4"/>
  <c r="L44" i="4"/>
  <c r="S44" i="4" s="1"/>
  <c r="O40" i="4"/>
  <c r="G40" i="4"/>
  <c r="K40" i="4" s="1"/>
  <c r="Q40" i="4" s="1"/>
  <c r="S40" i="4" s="1"/>
  <c r="O39" i="4"/>
  <c r="G39" i="4"/>
  <c r="K39" i="4" s="1"/>
  <c r="Q39" i="4" s="1"/>
  <c r="S39" i="4" s="1"/>
  <c r="T39" i="4" s="1"/>
  <c r="R36" i="4"/>
  <c r="N36" i="4"/>
  <c r="K36" i="4"/>
  <c r="R35" i="4"/>
  <c r="N35" i="4"/>
  <c r="J35" i="4"/>
  <c r="G35" i="4"/>
  <c r="R34" i="4"/>
  <c r="N34" i="4"/>
  <c r="J34" i="4"/>
  <c r="G34" i="4"/>
  <c r="R33" i="4"/>
  <c r="N33" i="4"/>
  <c r="J33" i="4"/>
  <c r="G33" i="4"/>
  <c r="K33" i="4" s="1"/>
  <c r="U33" i="4" s="1"/>
  <c r="R32" i="4"/>
  <c r="N32" i="4"/>
  <c r="J32" i="4"/>
  <c r="G32" i="4"/>
  <c r="K32" i="4" s="1"/>
  <c r="U32" i="4" s="1"/>
  <c r="R31" i="4"/>
  <c r="N31" i="4"/>
  <c r="J31" i="4"/>
  <c r="G31" i="4"/>
  <c r="R30" i="4"/>
  <c r="N30" i="4"/>
  <c r="J30" i="4"/>
  <c r="G30" i="4"/>
  <c r="K30" i="4" s="1"/>
  <c r="U30" i="4" s="1"/>
  <c r="R29" i="4"/>
  <c r="N29" i="4"/>
  <c r="J29" i="4"/>
  <c r="G29" i="4"/>
  <c r="K29" i="4" s="1"/>
  <c r="U29" i="4" s="1"/>
  <c r="R28" i="4"/>
  <c r="N28" i="4"/>
  <c r="J28" i="4"/>
  <c r="G28" i="4"/>
  <c r="K28" i="4" s="1"/>
  <c r="U28" i="4" s="1"/>
  <c r="R27" i="4"/>
  <c r="N27" i="4"/>
  <c r="J27" i="4"/>
  <c r="K27" i="4" s="1"/>
  <c r="O23" i="4"/>
  <c r="G22" i="4"/>
  <c r="O22" i="4"/>
  <c r="K22" i="4"/>
  <c r="O21" i="4"/>
  <c r="G21" i="4"/>
  <c r="K21" i="4" s="1"/>
  <c r="Q21" i="4" s="1"/>
  <c r="S21" i="4" s="1"/>
  <c r="O20" i="4"/>
  <c r="G20" i="4"/>
  <c r="K20" i="4" s="1"/>
  <c r="Q20" i="4" s="1"/>
  <c r="S20" i="4" s="1"/>
  <c r="O19" i="4"/>
  <c r="G19" i="4"/>
  <c r="K19" i="4" s="1"/>
  <c r="Q19" i="4" s="1"/>
  <c r="S19" i="4" s="1"/>
  <c r="G15" i="4"/>
  <c r="K15" i="4" s="1"/>
  <c r="U15" i="4" s="1"/>
  <c r="G16" i="4"/>
  <c r="K16" i="4" s="1"/>
  <c r="G14" i="4"/>
  <c r="K14" i="4" s="1"/>
  <c r="G12" i="4"/>
  <c r="K12" i="4" s="1"/>
  <c r="G13" i="4"/>
  <c r="G11" i="4"/>
  <c r="R16" i="4"/>
  <c r="N16" i="4"/>
  <c r="R15" i="4"/>
  <c r="N15" i="4"/>
  <c r="R14" i="4"/>
  <c r="N14" i="4"/>
  <c r="R13" i="4"/>
  <c r="N13" i="4"/>
  <c r="K13" i="4"/>
  <c r="R12" i="4"/>
  <c r="N12" i="4"/>
  <c r="R11" i="4"/>
  <c r="N11" i="4"/>
  <c r="K11" i="4"/>
  <c r="R10" i="4"/>
  <c r="N10" i="4"/>
  <c r="G10" i="4"/>
  <c r="K10" i="4" s="1"/>
  <c r="U10" i="4" s="1"/>
  <c r="R9" i="4"/>
  <c r="N9" i="4"/>
  <c r="G9" i="4"/>
  <c r="K9" i="4" s="1"/>
  <c r="U9" i="4" s="1"/>
  <c r="R8" i="4"/>
  <c r="N8" i="4"/>
  <c r="G8" i="4"/>
  <c r="K8" i="4" s="1"/>
  <c r="U8" i="4" s="1"/>
  <c r="G3" i="4"/>
  <c r="K3" i="4"/>
  <c r="N3" i="4"/>
  <c r="R3" i="4"/>
  <c r="G4" i="4"/>
  <c r="K4" i="4" s="1"/>
  <c r="N4" i="4"/>
  <c r="R4" i="4"/>
  <c r="G5" i="4"/>
  <c r="K5" i="4"/>
  <c r="N5" i="4"/>
  <c r="R5" i="4"/>
  <c r="G6" i="4"/>
  <c r="K6" i="4" s="1"/>
  <c r="N6" i="4"/>
  <c r="R6" i="4"/>
  <c r="G7" i="4"/>
  <c r="K7" i="4"/>
  <c r="N7" i="4"/>
  <c r="R7" i="4"/>
  <c r="R2" i="4"/>
  <c r="N2" i="4"/>
  <c r="G2" i="4"/>
  <c r="K2" i="4" s="1"/>
  <c r="O66" i="2"/>
  <c r="L66" i="2"/>
  <c r="O65" i="2"/>
  <c r="L65" i="2"/>
  <c r="S65" i="2" s="1"/>
  <c r="O64" i="2"/>
  <c r="L64" i="2"/>
  <c r="S64" i="2" s="1"/>
  <c r="O63" i="2"/>
  <c r="L63" i="2"/>
  <c r="S63" i="2" s="1"/>
  <c r="O57" i="2"/>
  <c r="L57" i="2"/>
  <c r="O58" i="2"/>
  <c r="L58" i="2"/>
  <c r="O60" i="2"/>
  <c r="L60" i="2"/>
  <c r="S60" i="2" s="1"/>
  <c r="O59" i="2"/>
  <c r="L59" i="2"/>
  <c r="S59" i="2" s="1"/>
  <c r="S58" i="2"/>
  <c r="O54" i="2"/>
  <c r="L54" i="2"/>
  <c r="O53" i="2"/>
  <c r="L53" i="2"/>
  <c r="S53" i="2" s="1"/>
  <c r="O52" i="2"/>
  <c r="L52" i="2"/>
  <c r="S52" i="2" s="1"/>
  <c r="O51" i="2"/>
  <c r="L51" i="2"/>
  <c r="S51" i="2" s="1"/>
  <c r="O46" i="2"/>
  <c r="O47" i="2"/>
  <c r="O48" i="2"/>
  <c r="L46" i="2"/>
  <c r="S46" i="2" s="1"/>
  <c r="L47" i="2"/>
  <c r="L48" i="2"/>
  <c r="O45" i="2"/>
  <c r="L45" i="2"/>
  <c r="S45" i="2" s="1"/>
  <c r="O41" i="2"/>
  <c r="G40" i="2"/>
  <c r="O40" i="2"/>
  <c r="K40" i="2"/>
  <c r="Q40" i="2" s="1"/>
  <c r="S40" i="2" s="1"/>
  <c r="N29" i="2"/>
  <c r="N30" i="2"/>
  <c r="N31" i="2"/>
  <c r="N32" i="2"/>
  <c r="N33" i="2"/>
  <c r="N34" i="2"/>
  <c r="N35" i="2"/>
  <c r="N36" i="2"/>
  <c r="N37" i="2"/>
  <c r="U37" i="2" s="1"/>
  <c r="R29" i="2"/>
  <c r="R30" i="2"/>
  <c r="R31" i="2"/>
  <c r="R32" i="2"/>
  <c r="R33" i="2"/>
  <c r="R34" i="2"/>
  <c r="R35" i="2"/>
  <c r="R36" i="2"/>
  <c r="R37" i="2"/>
  <c r="J30" i="2"/>
  <c r="J31" i="2"/>
  <c r="J32" i="2"/>
  <c r="J33" i="2"/>
  <c r="J34" i="2"/>
  <c r="J35" i="2"/>
  <c r="J36" i="2"/>
  <c r="G30" i="2"/>
  <c r="K30" i="2" s="1"/>
  <c r="U30" i="2" s="1"/>
  <c r="G31" i="2"/>
  <c r="G32" i="2"/>
  <c r="G41" i="2" s="1"/>
  <c r="K41" i="2" s="1"/>
  <c r="Q41" i="2" s="1"/>
  <c r="S41" i="2" s="1"/>
  <c r="T40" i="2" s="1"/>
  <c r="G33" i="2"/>
  <c r="G34" i="2"/>
  <c r="G35" i="2"/>
  <c r="G36" i="2"/>
  <c r="J29" i="2"/>
  <c r="K29" i="2"/>
  <c r="U29" i="2" s="1"/>
  <c r="K37" i="2"/>
  <c r="G29" i="2"/>
  <c r="J28" i="2"/>
  <c r="R28" i="2"/>
  <c r="N28" i="2"/>
  <c r="K28" i="2"/>
  <c r="G24" i="2"/>
  <c r="K24" i="2"/>
  <c r="O24" i="2"/>
  <c r="O23" i="2"/>
  <c r="O22" i="2"/>
  <c r="G22" i="2"/>
  <c r="K22" i="2" s="1"/>
  <c r="Q22" i="2" s="1"/>
  <c r="S22" i="2" s="1"/>
  <c r="O21" i="2"/>
  <c r="G21" i="2"/>
  <c r="K21" i="2" s="1"/>
  <c r="G19" i="2"/>
  <c r="G20" i="2"/>
  <c r="O19" i="2"/>
  <c r="O20" i="2"/>
  <c r="K19" i="2"/>
  <c r="Q19" i="2" s="1"/>
  <c r="S19" i="2" s="1"/>
  <c r="K20" i="2"/>
  <c r="Q20" i="2" s="1"/>
  <c r="S20" i="2" s="1"/>
  <c r="O18" i="2"/>
  <c r="G18" i="2"/>
  <c r="K18" i="2" s="1"/>
  <c r="Q18" i="2" s="1"/>
  <c r="S18" i="2" s="1"/>
  <c r="G12" i="2"/>
  <c r="G23" i="2" s="1"/>
  <c r="K23" i="2" s="1"/>
  <c r="Q23" i="2" s="1"/>
  <c r="S23" i="2" s="1"/>
  <c r="G11" i="2"/>
  <c r="G3" i="2"/>
  <c r="G4" i="2"/>
  <c r="G5" i="2"/>
  <c r="G6" i="2"/>
  <c r="G7" i="2"/>
  <c r="G8" i="2"/>
  <c r="G9" i="2"/>
  <c r="G10" i="2"/>
  <c r="G2" i="2"/>
  <c r="G13" i="2"/>
  <c r="G14" i="2"/>
  <c r="B176" i="10" l="1"/>
  <c r="C178" i="10" s="1"/>
  <c r="K28" i="10"/>
  <c r="U28" i="10" s="1"/>
  <c r="K18" i="10"/>
  <c r="U18" i="10" s="1"/>
  <c r="U4" i="10"/>
  <c r="B92" i="10"/>
  <c r="C142" i="5"/>
  <c r="C146" i="5"/>
  <c r="C144" i="5"/>
  <c r="C148" i="5"/>
  <c r="B72" i="5"/>
  <c r="C74" i="5" s="1"/>
  <c r="U10" i="5"/>
  <c r="K35" i="5"/>
  <c r="U35" i="5" s="1"/>
  <c r="U33" i="5"/>
  <c r="T39" i="5"/>
  <c r="K29" i="5"/>
  <c r="U29" i="5" s="1"/>
  <c r="U8" i="5"/>
  <c r="U13" i="5"/>
  <c r="S53" i="5"/>
  <c r="T52" i="5" s="1"/>
  <c r="U50" i="5" s="1"/>
  <c r="S65" i="5"/>
  <c r="K11" i="5"/>
  <c r="U11" i="5" s="1"/>
  <c r="U4" i="5"/>
  <c r="T64" i="5"/>
  <c r="U62" i="5" s="1"/>
  <c r="B142" i="4"/>
  <c r="C142" i="4" s="1"/>
  <c r="T62" i="8"/>
  <c r="U60" i="8" s="1"/>
  <c r="T50" i="8"/>
  <c r="U48" i="8" s="1"/>
  <c r="B9" i="8" s="1"/>
  <c r="T52" i="6"/>
  <c r="U50" i="6" s="1"/>
  <c r="S59" i="5"/>
  <c r="T46" i="5"/>
  <c r="U44" i="5" s="1"/>
  <c r="U3" i="4"/>
  <c r="Q22" i="4"/>
  <c r="S22" i="4" s="1"/>
  <c r="U5" i="4"/>
  <c r="K34" i="4"/>
  <c r="U34" i="4" s="1"/>
  <c r="U7" i="4"/>
  <c r="G23" i="4"/>
  <c r="K23" i="4" s="1"/>
  <c r="Q23" i="4" s="1"/>
  <c r="S23" i="4" s="1"/>
  <c r="T19" i="4" s="1"/>
  <c r="K31" i="4"/>
  <c r="U31" i="4" s="1"/>
  <c r="U27" i="4"/>
  <c r="K35" i="4"/>
  <c r="U35" i="4" s="1"/>
  <c r="B72" i="4"/>
  <c r="U177" i="2"/>
  <c r="T215" i="2"/>
  <c r="U213" i="2" s="1"/>
  <c r="T197" i="2"/>
  <c r="U195" i="2" s="1"/>
  <c r="T203" i="2"/>
  <c r="U201" i="2" s="1"/>
  <c r="T167" i="2"/>
  <c r="V177" i="2"/>
  <c r="B156" i="2" s="1"/>
  <c r="T209" i="2"/>
  <c r="U207" i="2" s="1"/>
  <c r="K163" i="2"/>
  <c r="U163" i="2" s="1"/>
  <c r="V151" i="2" s="1"/>
  <c r="S121" i="2"/>
  <c r="T122" i="2" s="1"/>
  <c r="U120" i="2" s="1"/>
  <c r="S135" i="2"/>
  <c r="T134" i="2" s="1"/>
  <c r="U132" i="2" s="1"/>
  <c r="K105" i="2"/>
  <c r="V102" i="2" s="1"/>
  <c r="B81" i="2" s="1"/>
  <c r="K35" i="2"/>
  <c r="U35" i="2" s="1"/>
  <c r="K106" i="2"/>
  <c r="K33" i="2"/>
  <c r="U33" i="2" s="1"/>
  <c r="K32" i="2"/>
  <c r="U32" i="2" s="1"/>
  <c r="U110" i="2"/>
  <c r="Q24" i="2"/>
  <c r="S24" i="2" s="1"/>
  <c r="S47" i="2"/>
  <c r="K34" i="2"/>
  <c r="U34" i="2" s="1"/>
  <c r="K31" i="2"/>
  <c r="U31" i="2" s="1"/>
  <c r="G98" i="2"/>
  <c r="K98" i="2" s="1"/>
  <c r="Q98" i="2" s="1"/>
  <c r="S98" i="2" s="1"/>
  <c r="S122" i="2"/>
  <c r="S66" i="2"/>
  <c r="T65" i="2" s="1"/>
  <c r="U63" i="2" s="1"/>
  <c r="T128" i="2"/>
  <c r="U126" i="2" s="1"/>
  <c r="K36" i="2"/>
  <c r="U36" i="2" s="1"/>
  <c r="S57" i="2"/>
  <c r="Q21" i="2"/>
  <c r="S21" i="2" s="1"/>
  <c r="T18" i="2" s="1"/>
  <c r="U88" i="2"/>
  <c r="U81" i="2"/>
  <c r="U86" i="2"/>
  <c r="U83" i="2"/>
  <c r="U84" i="2"/>
  <c r="T140" i="2"/>
  <c r="U138" i="2" s="1"/>
  <c r="G97" i="2"/>
  <c r="K97" i="2" s="1"/>
  <c r="Q97" i="2" s="1"/>
  <c r="S97" i="2" s="1"/>
  <c r="T92" i="2" s="1"/>
  <c r="K44" i="10"/>
  <c r="U44" i="10" s="1"/>
  <c r="U48" i="10"/>
  <c r="U2" i="10"/>
  <c r="Q52" i="10"/>
  <c r="S52" i="10" s="1"/>
  <c r="K47" i="10"/>
  <c r="Q51" i="10"/>
  <c r="S51" i="10" s="1"/>
  <c r="T51" i="10" s="1"/>
  <c r="S65" i="10"/>
  <c r="S77" i="10"/>
  <c r="Q31" i="10"/>
  <c r="S31" i="10" s="1"/>
  <c r="S56" i="10"/>
  <c r="S68" i="10"/>
  <c r="S58" i="10"/>
  <c r="Q35" i="10"/>
  <c r="S35" i="10" s="1"/>
  <c r="S63" i="10"/>
  <c r="K43" i="10"/>
  <c r="U43" i="10" s="1"/>
  <c r="Q34" i="10"/>
  <c r="S34" i="10" s="1"/>
  <c r="K41" i="10"/>
  <c r="U41" i="10" s="1"/>
  <c r="K45" i="10"/>
  <c r="U45" i="10" s="1"/>
  <c r="K40" i="10"/>
  <c r="U40" i="10" s="1"/>
  <c r="S70" i="10"/>
  <c r="Q32" i="10"/>
  <c r="S32" i="10" s="1"/>
  <c r="U39" i="10"/>
  <c r="S57" i="10"/>
  <c r="U47" i="10"/>
  <c r="S59" i="10"/>
  <c r="S71" i="10"/>
  <c r="S75" i="10"/>
  <c r="U3" i="10"/>
  <c r="Q33" i="10"/>
  <c r="S33" i="10" s="1"/>
  <c r="K42" i="10"/>
  <c r="U42" i="10" s="1"/>
  <c r="K46" i="10"/>
  <c r="U46" i="10" s="1"/>
  <c r="V31" i="8"/>
  <c r="T23" i="8"/>
  <c r="G44" i="8"/>
  <c r="K44" i="8" s="1"/>
  <c r="Q44" i="8" s="1"/>
  <c r="S44" i="8" s="1"/>
  <c r="T43" i="8" s="1"/>
  <c r="K20" i="8"/>
  <c r="U20" i="8" s="1"/>
  <c r="V2" i="8" s="1"/>
  <c r="B5" i="8" s="1"/>
  <c r="K39" i="7"/>
  <c r="S69" i="7"/>
  <c r="T68" i="7" s="1"/>
  <c r="U66" i="7" s="1"/>
  <c r="Q23" i="7"/>
  <c r="S23" i="7" s="1"/>
  <c r="U34" i="7"/>
  <c r="U38" i="7"/>
  <c r="S50" i="7"/>
  <c r="U39" i="7"/>
  <c r="U31" i="7"/>
  <c r="S63" i="7"/>
  <c r="K32" i="7"/>
  <c r="U32" i="7" s="1"/>
  <c r="U40" i="7"/>
  <c r="Q43" i="7"/>
  <c r="S43" i="7" s="1"/>
  <c r="K35" i="7"/>
  <c r="S55" i="7"/>
  <c r="K33" i="7"/>
  <c r="U33" i="7" s="1"/>
  <c r="K37" i="7"/>
  <c r="U37" i="7" s="1"/>
  <c r="S68" i="7"/>
  <c r="Q26" i="7"/>
  <c r="S26" i="7" s="1"/>
  <c r="Q27" i="7"/>
  <c r="S27" i="7" s="1"/>
  <c r="U2" i="7"/>
  <c r="Q24" i="7"/>
  <c r="S24" i="7" s="1"/>
  <c r="T23" i="7" s="1"/>
  <c r="S48" i="7"/>
  <c r="Q44" i="7"/>
  <c r="S44" i="7" s="1"/>
  <c r="S51" i="7"/>
  <c r="S57" i="7"/>
  <c r="U35" i="7"/>
  <c r="K36" i="7"/>
  <c r="U36" i="7" s="1"/>
  <c r="S60" i="7"/>
  <c r="S49" i="7"/>
  <c r="K20" i="7"/>
  <c r="U20" i="7" s="1"/>
  <c r="U6" i="6"/>
  <c r="T19" i="6"/>
  <c r="T46" i="6"/>
  <c r="U44" i="6" s="1"/>
  <c r="V27" i="6"/>
  <c r="B7" i="6" s="1"/>
  <c r="T58" i="6"/>
  <c r="U56" i="6" s="1"/>
  <c r="K16" i="6"/>
  <c r="U16" i="6" s="1"/>
  <c r="U12" i="5"/>
  <c r="U5" i="5"/>
  <c r="T19" i="5"/>
  <c r="T58" i="5"/>
  <c r="U56" i="5" s="1"/>
  <c r="V27" i="5"/>
  <c r="B7" i="5" s="1"/>
  <c r="K16" i="5"/>
  <c r="U16" i="5" s="1"/>
  <c r="S51" i="4"/>
  <c r="T52" i="4" s="1"/>
  <c r="U50" i="4" s="1"/>
  <c r="S47" i="4"/>
  <c r="S54" i="2"/>
  <c r="U36" i="4"/>
  <c r="V27" i="4" s="1"/>
  <c r="B7" i="4" s="1"/>
  <c r="S59" i="4"/>
  <c r="T58" i="4" s="1"/>
  <c r="U56" i="4" s="1"/>
  <c r="S46" i="4"/>
  <c r="U11" i="4"/>
  <c r="U12" i="4"/>
  <c r="U13" i="4"/>
  <c r="U16" i="4"/>
  <c r="U14" i="4"/>
  <c r="U2" i="4"/>
  <c r="U6" i="4"/>
  <c r="U4" i="4"/>
  <c r="T59" i="2"/>
  <c r="U57" i="2" s="1"/>
  <c r="T53" i="2"/>
  <c r="U51" i="2" s="1"/>
  <c r="S48" i="2"/>
  <c r="U28" i="2"/>
  <c r="V28" i="2" s="1"/>
  <c r="B7" i="2" s="1"/>
  <c r="K5" i="2"/>
  <c r="K6" i="2"/>
  <c r="K7" i="2"/>
  <c r="K8" i="2"/>
  <c r="R3" i="2"/>
  <c r="R4" i="2"/>
  <c r="R5" i="2"/>
  <c r="R6" i="2"/>
  <c r="R7" i="2"/>
  <c r="R8" i="2"/>
  <c r="R9" i="2"/>
  <c r="R10" i="2"/>
  <c r="R11" i="2"/>
  <c r="R12" i="2"/>
  <c r="R13" i="2"/>
  <c r="R14" i="2"/>
  <c r="N3" i="2"/>
  <c r="N4" i="2"/>
  <c r="N5" i="2"/>
  <c r="N6" i="2"/>
  <c r="N7" i="2"/>
  <c r="N8" i="2"/>
  <c r="N9" i="2"/>
  <c r="N10" i="2"/>
  <c r="N11" i="2"/>
  <c r="N12" i="2"/>
  <c r="N13" i="2"/>
  <c r="N14" i="2"/>
  <c r="K14" i="2"/>
  <c r="K13" i="2"/>
  <c r="K12" i="2"/>
  <c r="K11" i="2"/>
  <c r="K10" i="2"/>
  <c r="K9" i="2"/>
  <c r="K3" i="2"/>
  <c r="K4" i="2"/>
  <c r="R2" i="2"/>
  <c r="N2" i="2"/>
  <c r="K2" i="2"/>
  <c r="C176" i="10" l="1"/>
  <c r="C182" i="10"/>
  <c r="C180" i="10"/>
  <c r="C92" i="10"/>
  <c r="C96" i="10"/>
  <c r="C94" i="10"/>
  <c r="C98" i="10"/>
  <c r="C72" i="5"/>
  <c r="C78" i="5"/>
  <c r="C76" i="5"/>
  <c r="C148" i="4"/>
  <c r="C144" i="4"/>
  <c r="C146" i="4"/>
  <c r="T56" i="7"/>
  <c r="U54" i="7" s="1"/>
  <c r="B9" i="5"/>
  <c r="T46" i="4"/>
  <c r="U44" i="4" s="1"/>
  <c r="B9" i="4" s="1"/>
  <c r="C72" i="4"/>
  <c r="C74" i="4"/>
  <c r="C78" i="4"/>
  <c r="C76" i="4"/>
  <c r="B158" i="2"/>
  <c r="B154" i="2"/>
  <c r="B83" i="2"/>
  <c r="U12" i="2"/>
  <c r="V76" i="2"/>
  <c r="U13" i="2"/>
  <c r="T47" i="2"/>
  <c r="U45" i="2" s="1"/>
  <c r="B9" i="2" s="1"/>
  <c r="U8" i="2"/>
  <c r="U9" i="2"/>
  <c r="U10" i="2"/>
  <c r="B79" i="2"/>
  <c r="T64" i="10"/>
  <c r="U62" i="10" s="1"/>
  <c r="T58" i="10"/>
  <c r="U56" i="10" s="1"/>
  <c r="T76" i="10"/>
  <c r="U74" i="10" s="1"/>
  <c r="T31" i="10"/>
  <c r="T70" i="10"/>
  <c r="U68" i="10" s="1"/>
  <c r="V2" i="10"/>
  <c r="V39" i="10"/>
  <c r="B7" i="10" s="1"/>
  <c r="B3" i="8"/>
  <c r="B7" i="8"/>
  <c r="T43" i="7"/>
  <c r="T62" i="7"/>
  <c r="U60" i="7" s="1"/>
  <c r="T50" i="7"/>
  <c r="U48" i="7" s="1"/>
  <c r="V31" i="7"/>
  <c r="V2" i="6"/>
  <c r="B5" i="6" s="1"/>
  <c r="B9" i="6"/>
  <c r="V2" i="5"/>
  <c r="B5" i="5" s="1"/>
  <c r="V2" i="4"/>
  <c r="B5" i="4" s="1"/>
  <c r="U6" i="2"/>
  <c r="U5" i="2"/>
  <c r="U11" i="2"/>
  <c r="U7" i="2"/>
  <c r="U14" i="2"/>
  <c r="U4" i="2"/>
  <c r="U3" i="2"/>
  <c r="U2" i="2"/>
  <c r="B5" i="10" l="1"/>
  <c r="B9" i="10"/>
  <c r="B3" i="10" s="1"/>
  <c r="B9" i="7"/>
  <c r="B3" i="7" s="1"/>
  <c r="C9" i="7" s="1"/>
  <c r="C5" i="7"/>
  <c r="C3" i="7"/>
  <c r="C7" i="7"/>
  <c r="B3" i="5"/>
  <c r="C3" i="5" s="1"/>
  <c r="B152" i="2"/>
  <c r="C152" i="2" s="1"/>
  <c r="B77" i="2"/>
  <c r="C79" i="2" s="1"/>
  <c r="C3" i="8"/>
  <c r="C9" i="8"/>
  <c r="C7" i="8"/>
  <c r="C5" i="8"/>
  <c r="B3" i="6"/>
  <c r="C9" i="6" s="1"/>
  <c r="B3" i="4"/>
  <c r="C3" i="4" s="1"/>
  <c r="V2" i="2"/>
  <c r="B5" i="2" s="1"/>
  <c r="B3" i="2" s="1"/>
  <c r="C9" i="2" s="1"/>
  <c r="C5" i="5" l="1"/>
  <c r="C7" i="5"/>
  <c r="C9" i="5"/>
  <c r="C156" i="2"/>
  <c r="C154" i="2"/>
  <c r="C158" i="2"/>
  <c r="C77" i="2"/>
  <c r="C81" i="2"/>
  <c r="C83" i="2"/>
  <c r="C3" i="10"/>
  <c r="C5" i="10"/>
  <c r="C7" i="10"/>
  <c r="C9" i="10"/>
  <c r="C3" i="6"/>
  <c r="C5" i="6"/>
  <c r="C7" i="6"/>
  <c r="C5" i="4"/>
  <c r="C9" i="4"/>
  <c r="C7" i="4"/>
  <c r="C3" i="2"/>
  <c r="C5" i="2"/>
  <c r="C7" i="2"/>
</calcChain>
</file>

<file path=xl/sharedStrings.xml><?xml version="1.0" encoding="utf-8"?>
<sst xmlns="http://schemas.openxmlformats.org/spreadsheetml/2006/main" count="2767" uniqueCount="85">
  <si>
    <t>暴击率</t>
    <phoneticPr fontId="1" type="noConversion"/>
  </si>
  <si>
    <t>攻击力</t>
    <phoneticPr fontId="1" type="noConversion"/>
  </si>
  <si>
    <t>精通</t>
    <phoneticPr fontId="1" type="noConversion"/>
  </si>
  <si>
    <t>奥黛塔</t>
    <phoneticPr fontId="1" type="noConversion"/>
  </si>
  <si>
    <t>mc</t>
    <phoneticPr fontId="1" type="noConversion"/>
  </si>
  <si>
    <t>倍率</t>
    <phoneticPr fontId="1" type="noConversion"/>
  </si>
  <si>
    <t>基础系数</t>
    <phoneticPr fontId="1" type="noConversion"/>
  </si>
  <si>
    <t>独立</t>
    <phoneticPr fontId="1" type="noConversion"/>
  </si>
  <si>
    <t>基础乘区</t>
    <phoneticPr fontId="1" type="noConversion"/>
  </si>
  <si>
    <t>精通乘区</t>
    <phoneticPr fontId="1" type="noConversion"/>
  </si>
  <si>
    <t>羽毛</t>
    <phoneticPr fontId="1" type="noConversion"/>
  </si>
  <si>
    <t>爆伤</t>
    <phoneticPr fontId="1" type="noConversion"/>
  </si>
  <si>
    <t>暴击乘区</t>
    <phoneticPr fontId="1" type="noConversion"/>
  </si>
  <si>
    <t>抗性系数</t>
    <phoneticPr fontId="1" type="noConversion"/>
  </si>
  <si>
    <t>擢升</t>
    <phoneticPr fontId="1" type="noConversion"/>
  </si>
  <si>
    <t>单次伤害</t>
    <phoneticPr fontId="1" type="noConversion"/>
  </si>
  <si>
    <t>总伤</t>
    <phoneticPr fontId="1" type="noConversion"/>
  </si>
  <si>
    <t>z</t>
    <phoneticPr fontId="1" type="noConversion"/>
  </si>
  <si>
    <t>星扩增</t>
    <phoneticPr fontId="1" type="noConversion"/>
  </si>
  <si>
    <t>e</t>
    <phoneticPr fontId="1" type="noConversion"/>
  </si>
  <si>
    <t>q</t>
    <phoneticPr fontId="1" type="noConversion"/>
  </si>
  <si>
    <t>0＋1桑多涅0＋星峰剑奥c6布0七</t>
    <phoneticPr fontId="1" type="noConversion"/>
  </si>
  <si>
    <t>冰增伤</t>
    <phoneticPr fontId="1" type="noConversion"/>
  </si>
  <si>
    <t>次数</t>
    <phoneticPr fontId="1" type="noConversion"/>
  </si>
  <si>
    <t>单总伤</t>
    <phoneticPr fontId="1" type="noConversion"/>
  </si>
  <si>
    <t xml:space="preserve">DMG </t>
    <phoneticPr fontId="1" type="noConversion"/>
  </si>
  <si>
    <t xml:space="preserve">DPS </t>
    <phoneticPr fontId="1" type="noConversion"/>
  </si>
  <si>
    <t>统计</t>
    <phoneticPr fontId="1" type="noConversion"/>
  </si>
  <si>
    <t>轴长</t>
    <phoneticPr fontId="1" type="noConversion"/>
  </si>
  <si>
    <t>桑多涅总伤</t>
    <phoneticPr fontId="1" type="noConversion"/>
  </si>
  <si>
    <t>占比</t>
    <phoneticPr fontId="1" type="noConversion"/>
  </si>
  <si>
    <t>奥黛塔总伤</t>
    <phoneticPr fontId="1" type="noConversion"/>
  </si>
  <si>
    <t>ee</t>
    <phoneticPr fontId="1" type="noConversion"/>
  </si>
  <si>
    <t>e1</t>
    <phoneticPr fontId="1" type="noConversion"/>
  </si>
  <si>
    <t>e2</t>
  </si>
  <si>
    <t>e3</t>
  </si>
  <si>
    <t>e4</t>
  </si>
  <si>
    <t>e5</t>
  </si>
  <si>
    <t>e6</t>
  </si>
  <si>
    <t>e7</t>
  </si>
  <si>
    <t>e8</t>
  </si>
  <si>
    <t>e9</t>
  </si>
  <si>
    <t>反应系数</t>
    <phoneticPr fontId="1" type="noConversion"/>
  </si>
  <si>
    <t>冰系数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</si>
  <si>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</si>
  <si>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</si>
  <si>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</si>
  <si>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</si>
  <si>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权重</t>
    <phoneticPr fontId="1" type="noConversion"/>
  </si>
  <si>
    <t>xp伤害</t>
    <phoneticPr fontId="1" type="noConversion"/>
  </si>
  <si>
    <t>反应伤害</t>
    <phoneticPr fontId="1" type="noConversion"/>
  </si>
  <si>
    <t>触发次数</t>
    <phoneticPr fontId="1" type="noConversion"/>
  </si>
  <si>
    <t>风系数</t>
    <phoneticPr fontId="1" type="noConversion"/>
  </si>
  <si>
    <t>冰涡</t>
    <phoneticPr fontId="1" type="noConversion"/>
  </si>
  <si>
    <t>风涡</t>
    <phoneticPr fontId="1" type="noConversion"/>
  </si>
  <si>
    <t>1＋1桑多涅0＋星峰剑奥c6布0七</t>
    <phoneticPr fontId="1" type="noConversion"/>
  </si>
  <si>
    <t>2＋1桑多涅0＋星峰剑奥c6布0七</t>
    <phoneticPr fontId="1" type="noConversion"/>
  </si>
  <si>
    <t>3＋1桑多涅0＋星峰剑奥c6布0七</t>
    <phoneticPr fontId="1" type="noConversion"/>
  </si>
  <si>
    <t>c4</t>
    <phoneticPr fontId="1" type="noConversion"/>
  </si>
  <si>
    <t>4＋1桑多涅0＋星峰剑奥c6布0七</t>
    <phoneticPr fontId="1" type="noConversion"/>
  </si>
  <si>
    <t>5＋1桑多涅0＋星峰剑奥c6布0七</t>
    <phoneticPr fontId="1" type="noConversion"/>
  </si>
  <si>
    <t>c6</t>
    <phoneticPr fontId="1" type="noConversion"/>
  </si>
  <si>
    <t>6＋1桑多涅0＋星峰剑奥c6布0七</t>
    <phoneticPr fontId="1" type="noConversion"/>
  </si>
  <si>
    <t>0＋1桑多涅1＋星峰剑奥c6布0七</t>
    <phoneticPr fontId="1" type="noConversion"/>
  </si>
  <si>
    <t>0＋1桑多涅2＋星峰剑奥c6布0七</t>
    <phoneticPr fontId="1" type="noConversion"/>
  </si>
  <si>
    <t>1＋1桑多涅1＋星峰剑奥c6布0七</t>
    <phoneticPr fontId="1" type="noConversion"/>
  </si>
  <si>
    <t>1＋1桑多涅2＋星峰剑奥c6布0七</t>
    <phoneticPr fontId="1" type="noConversion"/>
  </si>
  <si>
    <t>2＋1桑多涅1＋星峰剑奥c6布0七</t>
    <phoneticPr fontId="1" type="noConversion"/>
  </si>
  <si>
    <t>2＋1桑多涅2＋星峰剑奥c6布0七</t>
    <phoneticPr fontId="1" type="noConversion"/>
  </si>
  <si>
    <t>6＋1桑多涅1＋星峰剑奥c6布0七</t>
    <phoneticPr fontId="1" type="noConversion"/>
  </si>
  <si>
    <t>6＋1桑多涅2＋星峰剑奥c6布0七</t>
    <phoneticPr fontId="1" type="noConversion"/>
  </si>
  <si>
    <t>偶/奥</t>
    <phoneticPr fontId="1" type="noConversion"/>
  </si>
  <si>
    <t>0+1</t>
    <phoneticPr fontId="1" type="noConversion"/>
  </si>
  <si>
    <t>1+1</t>
    <phoneticPr fontId="1" type="noConversion"/>
  </si>
  <si>
    <t>2+1</t>
    <phoneticPr fontId="1" type="noConversion"/>
  </si>
  <si>
    <t>6+1</t>
    <phoneticPr fontId="1" type="noConversion"/>
  </si>
  <si>
    <t>0+0</t>
    <phoneticPr fontId="1" type="noConversion"/>
  </si>
  <si>
    <t>1+0</t>
    <phoneticPr fontId="1" type="noConversion"/>
  </si>
  <si>
    <t>2+0</t>
    <phoneticPr fontId="1" type="noConversion"/>
  </si>
  <si>
    <t>v5木偶星扩散</t>
    <phoneticPr fontId="1" type="noConversion"/>
  </si>
  <si>
    <t>备注</t>
    <phoneticPr fontId="1" type="noConversion"/>
  </si>
  <si>
    <t>1.桑多涅为风起套，30词。24双爆＋4攻＋2精</t>
    <phoneticPr fontId="1" type="noConversion"/>
  </si>
  <si>
    <t>2.奥黛塔为炉火，30词。24双爆＋4攻＋2精，携带主角专武</t>
    <phoneticPr fontId="1" type="noConversion"/>
  </si>
  <si>
    <t>3.布伦尼讨龙，风套</t>
    <phoneticPr fontId="1" type="noConversion"/>
  </si>
  <si>
    <t>4.此计算为第二轮开始循环计算，热启动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</si>
</sst>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8" xfId="0" applyBorder="1" applyAlignment="1">
      <alignment vertical="center"/>
    </xf>
    <xf numFmtId="10" fontId="0" fillId="0" borderId="0" xfId="0" applyNumberFormat="1"/>
    <xf numFmtId="0" fontId="0" fillId="0" borderId="8" xfId="0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E25A-C256-4BED-AD1C-476867593851}">
  <dimension ref="F8:R23"/>
  <sheetViews>
    <sheetView workbookViewId="0">
      <selection activeCell="L10" sqref="L10:R10"/>
    </sheetView>
  </sheetViews>
  <sheetFormatPr defaultRowHeight="14" x14ac:dyDescent="0.3"/>
  <sheetData>
    <row r="8" spans="6:18" x14ac:dyDescent="0.3">
      <c r="L8" s="29" t="s">
        <v>80</v>
      </c>
      <c r="M8" s="29"/>
      <c r="N8" s="29"/>
      <c r="O8" s="29"/>
      <c r="P8" s="29"/>
      <c r="Q8" s="29"/>
      <c r="R8" s="29"/>
    </row>
    <row r="9" spans="6:18" x14ac:dyDescent="0.3">
      <c r="L9" s="30" t="s">
        <v>81</v>
      </c>
      <c r="M9" s="30"/>
      <c r="N9" s="30"/>
      <c r="O9" s="30"/>
      <c r="P9" s="30"/>
      <c r="Q9" s="30"/>
      <c r="R9" s="30"/>
    </row>
    <row r="10" spans="6:18" x14ac:dyDescent="0.3">
      <c r="F10" s="27" t="s">
        <v>79</v>
      </c>
      <c r="G10" s="27"/>
      <c r="H10" s="27"/>
      <c r="I10" s="27"/>
      <c r="L10" s="30" t="s">
        <v>82</v>
      </c>
      <c r="M10" s="30"/>
      <c r="N10" s="30"/>
      <c r="O10" s="30"/>
      <c r="P10" s="30"/>
      <c r="Q10" s="30"/>
      <c r="R10" s="30"/>
    </row>
    <row r="11" spans="6:18" x14ac:dyDescent="0.3">
      <c r="F11" s="1" t="s">
        <v>71</v>
      </c>
      <c r="G11" s="1" t="s">
        <v>76</v>
      </c>
      <c r="H11" s="1" t="s">
        <v>77</v>
      </c>
      <c r="I11" s="1" t="s">
        <v>78</v>
      </c>
      <c r="L11" s="30" t="s">
        <v>83</v>
      </c>
      <c r="M11" s="30"/>
      <c r="N11" s="30"/>
      <c r="O11" s="30"/>
      <c r="P11" s="30"/>
      <c r="Q11" s="30"/>
      <c r="R11" s="30"/>
    </row>
    <row r="12" spans="6:18" x14ac:dyDescent="0.3">
      <c r="F12" s="1" t="s">
        <v>72</v>
      </c>
      <c r="G12" s="1">
        <f>'0＋1桑0奥'!C3</f>
        <v>164772.38621820093</v>
      </c>
      <c r="H12" s="1">
        <f>'0＋1桑0奥'!C77</f>
        <v>183179.66117170799</v>
      </c>
      <c r="I12" s="1">
        <f>'0＋1桑0奥'!C152</f>
        <v>225566.28753263984</v>
      </c>
      <c r="L12" s="30" t="s">
        <v>84</v>
      </c>
      <c r="M12" s="30"/>
      <c r="N12" s="30"/>
      <c r="O12" s="30"/>
      <c r="P12" s="30"/>
      <c r="Q12" s="30"/>
      <c r="R12" s="30"/>
    </row>
    <row r="13" spans="6:18" x14ac:dyDescent="0.3">
      <c r="F13" s="1" t="s">
        <v>73</v>
      </c>
      <c r="G13" s="1">
        <f>'1+1桑0奥'!C3</f>
        <v>174600.16606602567</v>
      </c>
      <c r="H13" s="1">
        <f>'1+1桑0奥'!C72</f>
        <v>192364.51503447627</v>
      </c>
      <c r="I13" s="1">
        <f>'1+1桑0奥'!C142</f>
        <v>238227.20786363061</v>
      </c>
      <c r="L13" s="29"/>
      <c r="M13" s="29"/>
      <c r="N13" s="29"/>
      <c r="O13" s="29"/>
      <c r="P13" s="29"/>
      <c r="Q13" s="29"/>
      <c r="R13" s="29"/>
    </row>
    <row r="14" spans="6:18" x14ac:dyDescent="0.3">
      <c r="F14" s="1" t="s">
        <v>74</v>
      </c>
      <c r="G14" s="1">
        <f>'2+1桑0奥 '!C3</f>
        <v>191528.49454806262</v>
      </c>
      <c r="H14" s="1">
        <f>'2+1桑0奥 '!C72</f>
        <v>215344.67601815186</v>
      </c>
      <c r="I14" s="1">
        <f>'2+1桑0奥 '!C142</f>
        <v>267728.57882644638</v>
      </c>
      <c r="L14" s="29"/>
      <c r="M14" s="29"/>
      <c r="N14" s="29"/>
      <c r="O14" s="29"/>
      <c r="P14" s="29"/>
      <c r="Q14" s="29"/>
      <c r="R14" s="29"/>
    </row>
    <row r="15" spans="6:18" x14ac:dyDescent="0.3">
      <c r="F15" s="1" t="s">
        <v>75</v>
      </c>
      <c r="G15" s="1">
        <f>'6+1桑0奥  '!C3</f>
        <v>315399.33977676969</v>
      </c>
      <c r="H15" s="1">
        <f>'6+1桑0奥  '!C92</f>
        <v>348150.19968860532</v>
      </c>
      <c r="I15" s="1">
        <f>'6+1桑0奥  '!C176</f>
        <v>432187.48968301923</v>
      </c>
      <c r="L15" s="29"/>
      <c r="M15" s="29"/>
      <c r="N15" s="29"/>
      <c r="O15" s="29"/>
      <c r="P15" s="29"/>
      <c r="Q15" s="29"/>
      <c r="R15" s="29"/>
    </row>
    <row r="16" spans="6:18" x14ac:dyDescent="0.3">
      <c r="L16" s="29"/>
      <c r="M16" s="29"/>
      <c r="N16" s="29"/>
      <c r="O16" s="29"/>
      <c r="P16" s="29"/>
      <c r="Q16" s="29"/>
      <c r="R16" s="29"/>
    </row>
    <row r="17" spans="12:18" x14ac:dyDescent="0.3">
      <c r="L17" s="29"/>
      <c r="M17" s="29"/>
      <c r="N17" s="29"/>
      <c r="O17" s="29"/>
      <c r="P17" s="29"/>
      <c r="Q17" s="29"/>
      <c r="R17" s="29"/>
    </row>
    <row r="18" spans="12:18" x14ac:dyDescent="0.3">
      <c r="L18" s="29"/>
      <c r="M18" s="29"/>
      <c r="N18" s="29"/>
      <c r="O18" s="29"/>
      <c r="P18" s="29"/>
      <c r="Q18" s="29"/>
      <c r="R18" s="29"/>
    </row>
    <row r="19" spans="12:18" x14ac:dyDescent="0.3">
      <c r="L19" s="29"/>
      <c r="M19" s="29"/>
      <c r="N19" s="29"/>
      <c r="O19" s="29"/>
      <c r="P19" s="29"/>
      <c r="Q19" s="29"/>
      <c r="R19" s="29"/>
    </row>
    <row r="20" spans="12:18" x14ac:dyDescent="0.3">
      <c r="L20" s="29"/>
      <c r="M20" s="29"/>
      <c r="N20" s="29"/>
      <c r="O20" s="29"/>
      <c r="P20" s="29"/>
      <c r="Q20" s="29"/>
      <c r="R20" s="29"/>
    </row>
    <row r="21" spans="12:18" x14ac:dyDescent="0.3">
      <c r="L21" s="29"/>
      <c r="M21" s="29"/>
      <c r="N21" s="29"/>
      <c r="O21" s="29"/>
      <c r="P21" s="29"/>
      <c r="Q21" s="29"/>
      <c r="R21" s="29"/>
    </row>
    <row r="22" spans="12:18" x14ac:dyDescent="0.3">
      <c r="L22" s="29"/>
      <c r="M22" s="29"/>
      <c r="N22" s="29"/>
      <c r="O22" s="29"/>
      <c r="P22" s="29"/>
      <c r="Q22" s="29"/>
      <c r="R22" s="29"/>
    </row>
    <row r="23" spans="12:18" x14ac:dyDescent="0.3">
      <c r="L23" s="29"/>
      <c r="M23" s="29"/>
      <c r="N23" s="29"/>
      <c r="O23" s="29"/>
      <c r="P23" s="29"/>
      <c r="Q23" s="29"/>
      <c r="R23" s="29"/>
    </row>
  </sheetData>
  <sheetProtection algorithmName="SHA-512" hashValue="A3bMk3k4f2VnDd6qiqfc2pPfOpKeXxxrCipYVy9WgeKiD9piEIWLTesQ33ihSe0OH810Vlfq2LwY4Q2n5oz/gg==" saltValue="bRXDV9DXwhOhCqnMunffUg==" spinCount="100000" sheet="1" objects="1" scenarios="1"/>
  <mergeCells count="17">
    <mergeCell ref="L19:R19"/>
    <mergeCell ref="L20:R20"/>
    <mergeCell ref="L21:R21"/>
    <mergeCell ref="L22:R22"/>
    <mergeCell ref="L23:R23"/>
    <mergeCell ref="L13:R13"/>
    <mergeCell ref="L14:R14"/>
    <mergeCell ref="L15:R15"/>
    <mergeCell ref="L16:R16"/>
    <mergeCell ref="L17:R17"/>
    <mergeCell ref="L18:R18"/>
    <mergeCell ref="F10:I10"/>
    <mergeCell ref="L8:R8"/>
    <mergeCell ref="L9:R9"/>
    <mergeCell ref="L10:R10"/>
    <mergeCell ref="L11:R11"/>
    <mergeCell ref="L12:R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FACE-6C5D-4E6B-8413-E58F5A66C88A}">
  <dimension ref="A1:V216"/>
  <sheetViews>
    <sheetView tabSelected="1" topLeftCell="A134" zoomScale="80" zoomScaleNormal="80" workbookViewId="0">
      <selection activeCell="I163" sqref="I163"/>
    </sheetView>
  </sheetViews>
  <sheetFormatPr defaultRowHeight="14" x14ac:dyDescent="0.3"/>
  <cols>
    <col min="2" max="2" width="10.08203125" customWidth="1"/>
    <col min="6" max="6" width="2.58203125" customWidth="1"/>
  </cols>
  <sheetData>
    <row r="1" spans="1:22" x14ac:dyDescent="0.3">
      <c r="A1" s="15" t="s">
        <v>21</v>
      </c>
      <c r="B1" s="16"/>
      <c r="C1" s="16"/>
      <c r="D1" s="17"/>
      <c r="E1" s="11"/>
      <c r="F1" s="3" t="s">
        <v>4</v>
      </c>
      <c r="G1" s="4" t="s">
        <v>1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2</v>
      </c>
      <c r="M1" s="4" t="s">
        <v>18</v>
      </c>
      <c r="N1" s="4" t="s">
        <v>9</v>
      </c>
      <c r="O1" s="4" t="s">
        <v>10</v>
      </c>
      <c r="P1" s="4" t="s">
        <v>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5" t="s">
        <v>16</v>
      </c>
    </row>
    <row r="2" spans="1:22" x14ac:dyDescent="0.3">
      <c r="A2" s="18" t="s">
        <v>27</v>
      </c>
      <c r="B2" s="1" t="s">
        <v>25</v>
      </c>
      <c r="C2" s="1" t="s">
        <v>26</v>
      </c>
      <c r="D2" s="1" t="s">
        <v>28</v>
      </c>
      <c r="F2" s="6" t="s">
        <v>17</v>
      </c>
      <c r="G2">
        <f>3199+488+203</f>
        <v>3890</v>
      </c>
      <c r="H2">
        <v>2.4224999999999999</v>
      </c>
      <c r="I2">
        <v>1.28</v>
      </c>
      <c r="J2">
        <v>1</v>
      </c>
      <c r="K2">
        <f>G2*H2*I2*J2</f>
        <v>12062.111999999999</v>
      </c>
      <c r="L2">
        <v>200</v>
      </c>
      <c r="M2">
        <v>1.93</v>
      </c>
      <c r="N2">
        <f>1+6*L2/(L2+2000)+M2</f>
        <v>3.4754545454545456</v>
      </c>
      <c r="O2">
        <v>0</v>
      </c>
      <c r="P2">
        <v>0.85</v>
      </c>
      <c r="Q2">
        <v>2.2200000000000002</v>
      </c>
      <c r="R2">
        <f>1+P2*Q2</f>
        <v>2.887</v>
      </c>
      <c r="S2">
        <v>1.1499999999999999</v>
      </c>
      <c r="T2">
        <v>1</v>
      </c>
      <c r="U2">
        <f>(K2*N2+O2)*R2*S2*T2</f>
        <v>139180.88503366255</v>
      </c>
      <c r="V2" s="7">
        <f>SUM(U2:U14)</f>
        <v>2215343.9630463831</v>
      </c>
    </row>
    <row r="3" spans="1:22" x14ac:dyDescent="0.3">
      <c r="A3" s="18"/>
      <c r="B3" s="1">
        <f>B5+B7+B9</f>
        <v>3295447.7243640185</v>
      </c>
      <c r="C3" s="1">
        <f>B3/D3</f>
        <v>164772.38621820093</v>
      </c>
      <c r="D3" s="1">
        <v>20</v>
      </c>
      <c r="F3" s="6" t="s">
        <v>17</v>
      </c>
      <c r="G3">
        <f t="shared" ref="G3:G10" si="0">3199+488+203</f>
        <v>3890</v>
      </c>
      <c r="H3">
        <v>2.4224999999999999</v>
      </c>
      <c r="I3">
        <v>1.28</v>
      </c>
      <c r="J3">
        <v>1</v>
      </c>
      <c r="K3">
        <f t="shared" ref="K3:K8" si="1">G3*H3*I3*J3</f>
        <v>12062.111999999999</v>
      </c>
      <c r="L3">
        <v>200</v>
      </c>
      <c r="M3">
        <v>2.08</v>
      </c>
      <c r="N3">
        <f t="shared" ref="N3:N14" si="2">1+6*L3/(L3+2000)+M3</f>
        <v>3.6254545454545455</v>
      </c>
      <c r="O3">
        <v>0</v>
      </c>
      <c r="P3">
        <v>0.85</v>
      </c>
      <c r="Q3">
        <v>2.2200000000000002</v>
      </c>
      <c r="R3">
        <f t="shared" ref="R3:R14" si="3">1+P3*Q3</f>
        <v>2.887</v>
      </c>
      <c r="S3">
        <v>1.1499999999999999</v>
      </c>
      <c r="T3">
        <v>1</v>
      </c>
      <c r="U3">
        <f t="shared" ref="U3:U14" si="4">(K3*N3+O3)*R3*S3*T3</f>
        <v>145187.90727550251</v>
      </c>
      <c r="V3" s="7"/>
    </row>
    <row r="4" spans="1:22" x14ac:dyDescent="0.3">
      <c r="A4" s="18"/>
      <c r="B4" s="1" t="s">
        <v>29</v>
      </c>
      <c r="C4" s="1" t="s">
        <v>30</v>
      </c>
      <c r="D4" s="1"/>
      <c r="F4" s="6" t="s">
        <v>17</v>
      </c>
      <c r="G4">
        <f t="shared" si="0"/>
        <v>3890</v>
      </c>
      <c r="H4">
        <v>2.4224999999999999</v>
      </c>
      <c r="I4">
        <v>1.28</v>
      </c>
      <c r="J4">
        <v>1</v>
      </c>
      <c r="K4">
        <f t="shared" si="1"/>
        <v>12062.111999999999</v>
      </c>
      <c r="L4">
        <v>200</v>
      </c>
      <c r="M4">
        <v>2.08</v>
      </c>
      <c r="N4">
        <f t="shared" si="2"/>
        <v>3.6254545454545455</v>
      </c>
      <c r="O4">
        <v>0</v>
      </c>
      <c r="P4">
        <v>0.85</v>
      </c>
      <c r="Q4">
        <v>2.2200000000000002</v>
      </c>
      <c r="R4">
        <f t="shared" si="3"/>
        <v>2.887</v>
      </c>
      <c r="S4">
        <v>1.1499999999999999</v>
      </c>
      <c r="T4">
        <v>1</v>
      </c>
      <c r="U4">
        <f t="shared" si="4"/>
        <v>145187.90727550251</v>
      </c>
      <c r="V4" s="7"/>
    </row>
    <row r="5" spans="1:22" x14ac:dyDescent="0.3">
      <c r="A5" s="18"/>
      <c r="B5" s="1">
        <f>V2+T18</f>
        <v>2561999.6608342733</v>
      </c>
      <c r="C5" s="2">
        <f>B5/B3</f>
        <v>0.77743598901381694</v>
      </c>
      <c r="D5" s="1"/>
      <c r="F5" s="6" t="s">
        <v>19</v>
      </c>
      <c r="G5">
        <f t="shared" si="0"/>
        <v>3890</v>
      </c>
      <c r="H5">
        <v>0.58320000000000005</v>
      </c>
      <c r="I5">
        <v>1.28</v>
      </c>
      <c r="J5">
        <v>4</v>
      </c>
      <c r="K5">
        <f t="shared" si="1"/>
        <v>11615.477760000002</v>
      </c>
      <c r="L5">
        <v>200</v>
      </c>
      <c r="M5">
        <v>2.08</v>
      </c>
      <c r="N5">
        <f t="shared" si="2"/>
        <v>3.6254545454545455</v>
      </c>
      <c r="O5">
        <v>0</v>
      </c>
      <c r="P5">
        <v>0.85</v>
      </c>
      <c r="Q5">
        <v>2.2200000000000002</v>
      </c>
      <c r="R5">
        <f t="shared" si="3"/>
        <v>2.887</v>
      </c>
      <c r="S5">
        <v>1.1499999999999999</v>
      </c>
      <c r="T5">
        <v>1</v>
      </c>
      <c r="U5">
        <f t="shared" si="4"/>
        <v>139811.9092228245</v>
      </c>
      <c r="V5" s="7"/>
    </row>
    <row r="6" spans="1:22" x14ac:dyDescent="0.3">
      <c r="A6" s="18"/>
      <c r="B6" s="1" t="s">
        <v>31</v>
      </c>
      <c r="C6" s="2" t="s">
        <v>30</v>
      </c>
      <c r="D6" s="1"/>
      <c r="F6" s="6" t="s">
        <v>20</v>
      </c>
      <c r="G6">
        <f t="shared" si="0"/>
        <v>3890</v>
      </c>
      <c r="H6">
        <v>5.9543999999999997</v>
      </c>
      <c r="I6">
        <v>1.28</v>
      </c>
      <c r="J6">
        <v>2</v>
      </c>
      <c r="K6">
        <f t="shared" si="1"/>
        <v>59296.29696</v>
      </c>
      <c r="L6">
        <v>200</v>
      </c>
      <c r="M6">
        <v>2.08</v>
      </c>
      <c r="N6">
        <f t="shared" si="2"/>
        <v>3.6254545454545455</v>
      </c>
      <c r="O6">
        <v>0</v>
      </c>
      <c r="P6">
        <v>0.85</v>
      </c>
      <c r="Q6">
        <v>2.2200000000000002</v>
      </c>
      <c r="R6">
        <f t="shared" si="3"/>
        <v>2.887</v>
      </c>
      <c r="S6">
        <v>1.1499999999999999</v>
      </c>
      <c r="T6">
        <v>1</v>
      </c>
      <c r="U6">
        <f t="shared" si="4"/>
        <v>713731.16621775215</v>
      </c>
      <c r="V6" s="7"/>
    </row>
    <row r="7" spans="1:22" x14ac:dyDescent="0.3">
      <c r="A7" s="18"/>
      <c r="B7" s="1">
        <f>V28+T40</f>
        <v>557847.12205475057</v>
      </c>
      <c r="C7" s="2">
        <f>B7/B3</f>
        <v>0.16927809776209038</v>
      </c>
      <c r="D7" s="1"/>
      <c r="F7" s="6" t="s">
        <v>17</v>
      </c>
      <c r="G7">
        <f t="shared" si="0"/>
        <v>3890</v>
      </c>
      <c r="H7">
        <v>2.4224999999999999</v>
      </c>
      <c r="I7">
        <v>1.28</v>
      </c>
      <c r="J7">
        <v>1</v>
      </c>
      <c r="K7">
        <f t="shared" si="1"/>
        <v>12062.111999999999</v>
      </c>
      <c r="L7">
        <v>200</v>
      </c>
      <c r="M7">
        <v>2.08</v>
      </c>
      <c r="N7">
        <f t="shared" si="2"/>
        <v>3.6254545454545455</v>
      </c>
      <c r="O7">
        <v>0</v>
      </c>
      <c r="P7">
        <v>0.85</v>
      </c>
      <c r="Q7">
        <v>2.2200000000000002</v>
      </c>
      <c r="R7">
        <f t="shared" si="3"/>
        <v>2.887</v>
      </c>
      <c r="S7">
        <v>1.1499999999999999</v>
      </c>
      <c r="T7">
        <v>1</v>
      </c>
      <c r="U7">
        <f t="shared" si="4"/>
        <v>145187.90727550251</v>
      </c>
      <c r="V7" s="7"/>
    </row>
    <row r="8" spans="1:22" x14ac:dyDescent="0.3">
      <c r="A8" s="18"/>
      <c r="B8" s="1" t="s">
        <v>50</v>
      </c>
      <c r="C8" s="2" t="s">
        <v>30</v>
      </c>
      <c r="D8" s="1"/>
      <c r="F8" s="6" t="s">
        <v>17</v>
      </c>
      <c r="G8">
        <f t="shared" si="0"/>
        <v>3890</v>
      </c>
      <c r="H8">
        <v>2.4224999999999999</v>
      </c>
      <c r="I8">
        <v>1.28</v>
      </c>
      <c r="J8">
        <v>1</v>
      </c>
      <c r="K8">
        <f t="shared" si="1"/>
        <v>12062.111999999999</v>
      </c>
      <c r="L8">
        <v>200</v>
      </c>
      <c r="M8">
        <v>2.08</v>
      </c>
      <c r="N8">
        <f t="shared" si="2"/>
        <v>3.6254545454545455</v>
      </c>
      <c r="O8">
        <v>0</v>
      </c>
      <c r="P8">
        <v>0.85</v>
      </c>
      <c r="Q8">
        <v>2.2200000000000002</v>
      </c>
      <c r="R8">
        <f t="shared" si="3"/>
        <v>2.887</v>
      </c>
      <c r="S8">
        <v>1.1499999999999999</v>
      </c>
      <c r="T8">
        <v>1</v>
      </c>
      <c r="U8">
        <f t="shared" si="4"/>
        <v>145187.90727550251</v>
      </c>
      <c r="V8" s="7"/>
    </row>
    <row r="9" spans="1:22" x14ac:dyDescent="0.3">
      <c r="A9" s="18"/>
      <c r="B9" s="1">
        <f>U45+U51+U57+U63</f>
        <v>175600.94147499473</v>
      </c>
      <c r="C9" s="2">
        <f>B9/B3</f>
        <v>5.3285913224092665E-2</v>
      </c>
      <c r="D9" s="1"/>
      <c r="F9" s="6" t="s">
        <v>17</v>
      </c>
      <c r="G9">
        <f t="shared" si="0"/>
        <v>3890</v>
      </c>
      <c r="H9">
        <v>2.4224999999999999</v>
      </c>
      <c r="I9">
        <v>1.28</v>
      </c>
      <c r="J9">
        <v>1</v>
      </c>
      <c r="K9">
        <f t="shared" ref="K9:K10" si="5">G9*H9*I9*J9</f>
        <v>12062.111999999999</v>
      </c>
      <c r="L9">
        <v>200</v>
      </c>
      <c r="M9">
        <v>2.08</v>
      </c>
      <c r="N9">
        <f t="shared" si="2"/>
        <v>3.6254545454545455</v>
      </c>
      <c r="O9">
        <v>0</v>
      </c>
      <c r="P9">
        <v>0.85</v>
      </c>
      <c r="Q9">
        <v>2.2200000000000002</v>
      </c>
      <c r="R9">
        <f t="shared" si="3"/>
        <v>2.887</v>
      </c>
      <c r="S9">
        <v>1.1499999999999999</v>
      </c>
      <c r="T9">
        <v>1</v>
      </c>
      <c r="U9">
        <f t="shared" si="4"/>
        <v>145187.90727550251</v>
      </c>
      <c r="V9" s="7"/>
    </row>
    <row r="10" spans="1:22" x14ac:dyDescent="0.3">
      <c r="A10" s="6"/>
      <c r="F10" s="6" t="s">
        <v>19</v>
      </c>
      <c r="G10">
        <f t="shared" si="0"/>
        <v>3890</v>
      </c>
      <c r="H10">
        <v>0.58320000000000005</v>
      </c>
      <c r="I10">
        <v>1.28</v>
      </c>
      <c r="J10">
        <v>4</v>
      </c>
      <c r="K10">
        <f t="shared" si="5"/>
        <v>11615.477760000002</v>
      </c>
      <c r="L10">
        <v>200</v>
      </c>
      <c r="M10">
        <v>2.08</v>
      </c>
      <c r="N10">
        <f t="shared" si="2"/>
        <v>3.6254545454545455</v>
      </c>
      <c r="O10">
        <v>0</v>
      </c>
      <c r="P10">
        <v>0.85</v>
      </c>
      <c r="Q10">
        <v>2.2200000000000002</v>
      </c>
      <c r="R10">
        <f t="shared" si="3"/>
        <v>2.887</v>
      </c>
      <c r="S10">
        <v>1.1499999999999999</v>
      </c>
      <c r="T10">
        <v>1</v>
      </c>
      <c r="U10">
        <f t="shared" si="4"/>
        <v>139811.9092228245</v>
      </c>
      <c r="V10" s="7"/>
    </row>
    <row r="11" spans="1:22" x14ac:dyDescent="0.3">
      <c r="A11" s="6"/>
      <c r="F11" s="6" t="s">
        <v>17</v>
      </c>
      <c r="G11">
        <f>3199+203</f>
        <v>3402</v>
      </c>
      <c r="H11">
        <v>2.4224999999999999</v>
      </c>
      <c r="I11">
        <v>1.28</v>
      </c>
      <c r="J11">
        <v>1</v>
      </c>
      <c r="K11">
        <f>G11*H11*I11*J11</f>
        <v>10548.9216</v>
      </c>
      <c r="L11">
        <v>200</v>
      </c>
      <c r="M11">
        <v>2.08</v>
      </c>
      <c r="N11">
        <f t="shared" si="2"/>
        <v>3.6254545454545455</v>
      </c>
      <c r="O11">
        <v>0</v>
      </c>
      <c r="P11">
        <v>0.85</v>
      </c>
      <c r="Q11">
        <v>2.2200000000000002</v>
      </c>
      <c r="R11">
        <f t="shared" si="3"/>
        <v>2.887</v>
      </c>
      <c r="S11">
        <v>0.9</v>
      </c>
      <c r="T11">
        <v>1</v>
      </c>
      <c r="U11">
        <f t="shared" si="4"/>
        <v>99371.037106546049</v>
      </c>
      <c r="V11" s="7"/>
    </row>
    <row r="12" spans="1:22" x14ac:dyDescent="0.3">
      <c r="A12" s="6"/>
      <c r="F12" s="6" t="s">
        <v>17</v>
      </c>
      <c r="G12">
        <f>3199+203</f>
        <v>3402</v>
      </c>
      <c r="H12">
        <v>2.4224999999999999</v>
      </c>
      <c r="I12">
        <v>1.28</v>
      </c>
      <c r="J12">
        <v>1</v>
      </c>
      <c r="K12">
        <f t="shared" ref="K12:K14" si="6">G12*H12*I12*J12</f>
        <v>10548.9216</v>
      </c>
      <c r="L12">
        <v>200</v>
      </c>
      <c r="M12">
        <v>2.08</v>
      </c>
      <c r="N12">
        <f t="shared" si="2"/>
        <v>3.6254545454545455</v>
      </c>
      <c r="O12">
        <v>0</v>
      </c>
      <c r="P12">
        <v>0.85</v>
      </c>
      <c r="Q12">
        <v>2.2200000000000002</v>
      </c>
      <c r="R12">
        <f t="shared" si="3"/>
        <v>2.887</v>
      </c>
      <c r="S12">
        <v>0.9</v>
      </c>
      <c r="T12">
        <v>1</v>
      </c>
      <c r="U12">
        <f t="shared" si="4"/>
        <v>99371.037106546049</v>
      </c>
      <c r="V12" s="7"/>
    </row>
    <row r="13" spans="1:22" x14ac:dyDescent="0.3">
      <c r="A13" s="6"/>
      <c r="F13" s="6" t="s">
        <v>17</v>
      </c>
      <c r="G13">
        <f>3199</f>
        <v>3199</v>
      </c>
      <c r="H13">
        <v>2.4224999999999999</v>
      </c>
      <c r="I13">
        <v>1.28</v>
      </c>
      <c r="J13">
        <v>1</v>
      </c>
      <c r="K13">
        <f t="shared" si="6"/>
        <v>9919.4591999999993</v>
      </c>
      <c r="L13">
        <v>200</v>
      </c>
      <c r="M13">
        <v>1.58</v>
      </c>
      <c r="N13">
        <f t="shared" si="2"/>
        <v>3.1254545454545455</v>
      </c>
      <c r="O13">
        <v>0</v>
      </c>
      <c r="P13">
        <v>0.85</v>
      </c>
      <c r="Q13">
        <v>2.2200000000000002</v>
      </c>
      <c r="R13">
        <f t="shared" si="3"/>
        <v>2.887</v>
      </c>
      <c r="S13">
        <v>0.9</v>
      </c>
      <c r="T13">
        <v>1</v>
      </c>
      <c r="U13">
        <f t="shared" si="4"/>
        <v>80554.624205199711</v>
      </c>
      <c r="V13" s="7"/>
    </row>
    <row r="14" spans="1:22" x14ac:dyDescent="0.3">
      <c r="A14" s="6"/>
      <c r="F14" s="6" t="s">
        <v>19</v>
      </c>
      <c r="G14">
        <f>3199</f>
        <v>3199</v>
      </c>
      <c r="H14">
        <v>0.58320000000000005</v>
      </c>
      <c r="I14">
        <v>1.28</v>
      </c>
      <c r="J14">
        <v>4</v>
      </c>
      <c r="K14">
        <f t="shared" si="6"/>
        <v>9552.1628160000018</v>
      </c>
      <c r="L14">
        <v>200</v>
      </c>
      <c r="M14">
        <v>1.58</v>
      </c>
      <c r="N14">
        <f t="shared" si="2"/>
        <v>3.1254545454545455</v>
      </c>
      <c r="O14">
        <v>0</v>
      </c>
      <c r="P14">
        <v>0.85</v>
      </c>
      <c r="Q14">
        <v>2.2200000000000002</v>
      </c>
      <c r="R14">
        <f t="shared" si="3"/>
        <v>2.887</v>
      </c>
      <c r="S14">
        <v>0.9</v>
      </c>
      <c r="T14">
        <v>1</v>
      </c>
      <c r="U14">
        <f t="shared" si="4"/>
        <v>77571.858553514932</v>
      </c>
      <c r="V14" s="7"/>
    </row>
    <row r="15" spans="1:22" x14ac:dyDescent="0.3">
      <c r="A15" s="6"/>
      <c r="F15" s="6"/>
      <c r="V15" s="7"/>
    </row>
    <row r="16" spans="1:22" x14ac:dyDescent="0.3">
      <c r="A16" s="6"/>
      <c r="F16" s="6"/>
      <c r="V16" s="7"/>
    </row>
    <row r="17" spans="1:22" x14ac:dyDescent="0.3">
      <c r="A17" s="6"/>
      <c r="F17" s="6"/>
      <c r="G17" t="s">
        <v>1</v>
      </c>
      <c r="H17" t="s">
        <v>5</v>
      </c>
      <c r="I17" t="s">
        <v>7</v>
      </c>
      <c r="J17" t="s">
        <v>7</v>
      </c>
      <c r="K17" t="s">
        <v>8</v>
      </c>
      <c r="L17" t="s">
        <v>22</v>
      </c>
      <c r="M17" t="s">
        <v>0</v>
      </c>
      <c r="N17" t="s">
        <v>11</v>
      </c>
      <c r="O17" t="s">
        <v>12</v>
      </c>
      <c r="P17" t="s">
        <v>13</v>
      </c>
      <c r="Q17" t="s">
        <v>15</v>
      </c>
      <c r="R17" t="s">
        <v>23</v>
      </c>
      <c r="S17" t="s">
        <v>24</v>
      </c>
      <c r="T17" t="s">
        <v>16</v>
      </c>
      <c r="V17" s="7"/>
    </row>
    <row r="18" spans="1:22" x14ac:dyDescent="0.3">
      <c r="A18" s="6"/>
      <c r="F18" s="6"/>
      <c r="G18">
        <f>3199+488+203</f>
        <v>3890</v>
      </c>
      <c r="H18">
        <v>0.85</v>
      </c>
      <c r="I18">
        <v>1</v>
      </c>
      <c r="J18">
        <v>1</v>
      </c>
      <c r="K18">
        <f>G18*H18*I18*J18</f>
        <v>3306.5</v>
      </c>
      <c r="L18">
        <v>1</v>
      </c>
      <c r="M18">
        <v>0.85</v>
      </c>
      <c r="N18">
        <v>2.2200000000000002</v>
      </c>
      <c r="O18">
        <f>1+M18*N18</f>
        <v>2.887</v>
      </c>
      <c r="P18">
        <v>1.1499999999999999</v>
      </c>
      <c r="Q18">
        <f>K18*L18*O18*P18</f>
        <v>10977.745325</v>
      </c>
      <c r="R18">
        <v>9</v>
      </c>
      <c r="S18">
        <f>Q18*R18</f>
        <v>98799.707924999995</v>
      </c>
      <c r="T18">
        <f>SUM(S18:S24)</f>
        <v>346655.69778789004</v>
      </c>
      <c r="V18" s="7"/>
    </row>
    <row r="19" spans="1:22" x14ac:dyDescent="0.3">
      <c r="A19" s="6"/>
      <c r="F19" s="6"/>
      <c r="G19">
        <f t="shared" ref="G19:G22" si="7">3199+488+203</f>
        <v>3890</v>
      </c>
      <c r="H19">
        <v>0.58320000000000005</v>
      </c>
      <c r="I19">
        <v>1</v>
      </c>
      <c r="J19">
        <v>1</v>
      </c>
      <c r="K19">
        <f t="shared" ref="K19:K20" si="8">G19*H19*I19*J19</f>
        <v>2268.6480000000001</v>
      </c>
      <c r="L19">
        <v>1</v>
      </c>
      <c r="M19">
        <v>0.85</v>
      </c>
      <c r="N19">
        <v>2.2200000000000002</v>
      </c>
      <c r="O19">
        <f t="shared" ref="O19:O20" si="9">1+M19*N19</f>
        <v>2.887</v>
      </c>
      <c r="P19">
        <v>1.1499999999999999</v>
      </c>
      <c r="Q19">
        <f t="shared" ref="Q19:Q20" si="10">K19*L19*O19*P19</f>
        <v>7532.0247923999996</v>
      </c>
      <c r="R19">
        <v>1</v>
      </c>
      <c r="S19">
        <f t="shared" ref="S19:S20" si="11">Q19*R19</f>
        <v>7532.0247923999996</v>
      </c>
      <c r="V19" s="7"/>
    </row>
    <row r="20" spans="1:22" x14ac:dyDescent="0.3">
      <c r="A20" s="6"/>
      <c r="F20" s="6"/>
      <c r="G20">
        <f t="shared" si="7"/>
        <v>3890</v>
      </c>
      <c r="H20">
        <v>1.5879000000000001</v>
      </c>
      <c r="I20">
        <v>3</v>
      </c>
      <c r="J20">
        <v>1</v>
      </c>
      <c r="K20">
        <f t="shared" si="8"/>
        <v>18530.793000000001</v>
      </c>
      <c r="L20">
        <v>1</v>
      </c>
      <c r="M20">
        <v>0.85</v>
      </c>
      <c r="N20">
        <v>2.2200000000000002</v>
      </c>
      <c r="O20">
        <f t="shared" si="9"/>
        <v>2.887</v>
      </c>
      <c r="P20">
        <v>1.1499999999999999</v>
      </c>
      <c r="Q20">
        <f t="shared" si="10"/>
        <v>61523.159299650004</v>
      </c>
      <c r="R20">
        <v>1</v>
      </c>
      <c r="S20">
        <f t="shared" si="11"/>
        <v>61523.159299650004</v>
      </c>
      <c r="V20" s="7"/>
    </row>
    <row r="21" spans="1:22" x14ac:dyDescent="0.3">
      <c r="A21" s="6"/>
      <c r="F21" s="6"/>
      <c r="G21">
        <f>3199+488+203</f>
        <v>3890</v>
      </c>
      <c r="H21">
        <v>0.85</v>
      </c>
      <c r="I21">
        <v>1</v>
      </c>
      <c r="J21">
        <v>1</v>
      </c>
      <c r="K21">
        <f>G21*H21*I21*J21</f>
        <v>3306.5</v>
      </c>
      <c r="L21">
        <v>1</v>
      </c>
      <c r="M21">
        <v>0.85</v>
      </c>
      <c r="N21">
        <v>2.2200000000000002</v>
      </c>
      <c r="O21">
        <f>1+M21*N21</f>
        <v>2.887</v>
      </c>
      <c r="P21">
        <v>1.1499999999999999</v>
      </c>
      <c r="Q21">
        <f>K21*L21*O21*P21</f>
        <v>10977.745325</v>
      </c>
      <c r="R21">
        <v>9</v>
      </c>
      <c r="S21">
        <f>Q21*R21</f>
        <v>98799.707924999995</v>
      </c>
      <c r="V21" s="7"/>
    </row>
    <row r="22" spans="1:22" x14ac:dyDescent="0.3">
      <c r="A22" s="6"/>
      <c r="F22" s="6"/>
      <c r="G22">
        <f t="shared" si="7"/>
        <v>3890</v>
      </c>
      <c r="H22">
        <v>0.58320000000000005</v>
      </c>
      <c r="I22">
        <v>1</v>
      </c>
      <c r="J22">
        <v>1</v>
      </c>
      <c r="K22">
        <f t="shared" ref="K22" si="12">G22*H22*I22*J22</f>
        <v>2268.6480000000001</v>
      </c>
      <c r="L22">
        <v>1</v>
      </c>
      <c r="M22">
        <v>0.85</v>
      </c>
      <c r="N22">
        <v>2.2200000000000002</v>
      </c>
      <c r="O22">
        <f t="shared" ref="O22" si="13">1+M22*N22</f>
        <v>2.887</v>
      </c>
      <c r="P22">
        <v>1.1499999999999999</v>
      </c>
      <c r="Q22">
        <f t="shared" ref="Q22" si="14">K22*L22*O22*P22</f>
        <v>7532.0247923999996</v>
      </c>
      <c r="R22">
        <v>1</v>
      </c>
      <c r="S22">
        <f t="shared" ref="S22" si="15">Q22*R22</f>
        <v>7532.0247923999996</v>
      </c>
      <c r="V22" s="7"/>
    </row>
    <row r="23" spans="1:22" x14ac:dyDescent="0.3">
      <c r="A23" s="6"/>
      <c r="F23" s="6"/>
      <c r="G23">
        <f>$G12</f>
        <v>3402</v>
      </c>
      <c r="H23">
        <v>0.85</v>
      </c>
      <c r="I23">
        <v>1</v>
      </c>
      <c r="J23">
        <v>1</v>
      </c>
      <c r="K23">
        <f>G23*H23*I23*J23</f>
        <v>2891.7</v>
      </c>
      <c r="L23">
        <v>1</v>
      </c>
      <c r="M23">
        <v>0.85</v>
      </c>
      <c r="N23">
        <v>2.2200000000000002</v>
      </c>
      <c r="O23">
        <f>1+M23*N23</f>
        <v>2.887</v>
      </c>
      <c r="P23">
        <v>0.9</v>
      </c>
      <c r="Q23">
        <f>K23*L23*O23*P23</f>
        <v>7513.5041099999989</v>
      </c>
      <c r="R23">
        <v>9</v>
      </c>
      <c r="S23">
        <f>Q23*R23</f>
        <v>67621.536989999993</v>
      </c>
      <c r="V23" s="7"/>
    </row>
    <row r="24" spans="1:22" ht="14.5" thickBot="1" x14ac:dyDescent="0.35">
      <c r="A24" s="6"/>
      <c r="F24" s="8"/>
      <c r="G24" s="9">
        <f>$G14</f>
        <v>3199</v>
      </c>
      <c r="H24" s="9">
        <v>0.58320000000000005</v>
      </c>
      <c r="I24" s="9">
        <v>1</v>
      </c>
      <c r="J24" s="9">
        <v>1</v>
      </c>
      <c r="K24" s="9">
        <f t="shared" ref="K24" si="16">G24*H24*I24*J24</f>
        <v>1865.6568000000002</v>
      </c>
      <c r="L24" s="9">
        <v>1</v>
      </c>
      <c r="M24" s="9">
        <v>0.85</v>
      </c>
      <c r="N24" s="9">
        <v>2.2200000000000002</v>
      </c>
      <c r="O24" s="9">
        <f t="shared" ref="O24" si="17">1+M24*N24</f>
        <v>2.887</v>
      </c>
      <c r="P24" s="9">
        <v>0.9</v>
      </c>
      <c r="Q24" s="9">
        <f t="shared" ref="Q24" si="18">K24*L24*O24*P24</f>
        <v>4847.5360634400004</v>
      </c>
      <c r="R24" s="9">
        <v>1</v>
      </c>
      <c r="S24" s="9">
        <f t="shared" ref="S24" si="19">Q24*R24</f>
        <v>4847.5360634400004</v>
      </c>
      <c r="T24" s="9"/>
      <c r="U24" s="9"/>
      <c r="V24" s="10"/>
    </row>
    <row r="25" spans="1:22" ht="14.5" thickBot="1" x14ac:dyDescent="0.35">
      <c r="A25" s="6"/>
      <c r="V25" s="7"/>
    </row>
    <row r="26" spans="1:22" x14ac:dyDescent="0.3">
      <c r="A26" s="6"/>
      <c r="F26" s="19" t="s">
        <v>3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  <row r="27" spans="1:22" x14ac:dyDescent="0.3">
      <c r="A27" s="6"/>
      <c r="F27" s="6" t="s">
        <v>4</v>
      </c>
      <c r="G27" t="s">
        <v>1</v>
      </c>
      <c r="H27" t="s">
        <v>5</v>
      </c>
      <c r="I27" t="s">
        <v>6</v>
      </c>
      <c r="J27" t="s">
        <v>7</v>
      </c>
      <c r="K27" t="s">
        <v>8</v>
      </c>
      <c r="L27" t="s">
        <v>2</v>
      </c>
      <c r="M27" t="s">
        <v>18</v>
      </c>
      <c r="N27" t="s">
        <v>9</v>
      </c>
      <c r="O27" t="s">
        <v>10</v>
      </c>
      <c r="P27" t="s">
        <v>0</v>
      </c>
      <c r="Q27" t="s">
        <v>11</v>
      </c>
      <c r="R27" t="s">
        <v>12</v>
      </c>
      <c r="S27" t="s">
        <v>13</v>
      </c>
      <c r="T27" t="s">
        <v>14</v>
      </c>
      <c r="U27" t="s">
        <v>15</v>
      </c>
      <c r="V27" s="7" t="s">
        <v>16</v>
      </c>
    </row>
    <row r="28" spans="1:22" x14ac:dyDescent="0.3">
      <c r="A28" s="6"/>
      <c r="F28" s="6" t="s">
        <v>32</v>
      </c>
      <c r="G28">
        <v>2604</v>
      </c>
      <c r="H28">
        <v>8.2554999999999996</v>
      </c>
      <c r="I28">
        <v>1.28</v>
      </c>
      <c r="J28">
        <f>16*0.015+1</f>
        <v>1.24</v>
      </c>
      <c r="K28">
        <f>G28*H28*I28*J28</f>
        <v>34120.549478399997</v>
      </c>
      <c r="L28">
        <v>20</v>
      </c>
      <c r="M28">
        <v>1.1000000000000001</v>
      </c>
      <c r="N28">
        <f>1+6*L28/(L28+2000)+M28</f>
        <v>2.1594059405940595</v>
      </c>
      <c r="O28">
        <v>0</v>
      </c>
      <c r="P28">
        <v>0.93</v>
      </c>
      <c r="Q28">
        <v>2.2999999999999998</v>
      </c>
      <c r="R28">
        <f>1+P28*Q28</f>
        <v>3.1389999999999998</v>
      </c>
      <c r="S28">
        <v>0.9</v>
      </c>
      <c r="T28">
        <v>1</v>
      </c>
      <c r="U28">
        <f>(K28*N28+O28)*R28*S28*T28</f>
        <v>208153.69921469712</v>
      </c>
      <c r="V28" s="7">
        <f>SUM(U28:U37)</f>
        <v>421028.48874122062</v>
      </c>
    </row>
    <row r="29" spans="1:22" x14ac:dyDescent="0.3">
      <c r="A29" s="6"/>
      <c r="F29" s="6" t="s">
        <v>33</v>
      </c>
      <c r="G29">
        <f>189+2604</f>
        <v>2793</v>
      </c>
      <c r="H29">
        <v>0.72950000000000004</v>
      </c>
      <c r="I29">
        <v>1.28</v>
      </c>
      <c r="J29">
        <f>17*0.015+1</f>
        <v>1.2549999999999999</v>
      </c>
      <c r="K29">
        <f t="shared" ref="K29:K37" si="20">G29*H29*I29*J29</f>
        <v>3273.0295584</v>
      </c>
      <c r="L29">
        <v>20</v>
      </c>
      <c r="M29">
        <v>1.3</v>
      </c>
      <c r="N29">
        <f t="shared" ref="N29:N37" si="21">1+6*L29/(L29+2000)+M29</f>
        <v>2.3594059405940593</v>
      </c>
      <c r="O29">
        <v>0</v>
      </c>
      <c r="P29">
        <v>0.93</v>
      </c>
      <c r="Q29">
        <v>2.2999999999999998</v>
      </c>
      <c r="R29">
        <f t="shared" ref="R29:R37" si="22">1+P29*Q29</f>
        <v>3.1389999999999998</v>
      </c>
      <c r="S29">
        <v>0.9</v>
      </c>
      <c r="T29">
        <v>1</v>
      </c>
      <c r="U29">
        <f t="shared" ref="U29:U37" si="23">(K29*N29+O29)*R29*S29*T29</f>
        <v>21816.567449855054</v>
      </c>
      <c r="V29" s="7"/>
    </row>
    <row r="30" spans="1:22" x14ac:dyDescent="0.3">
      <c r="A30" s="6"/>
      <c r="F30" s="6" t="s">
        <v>34</v>
      </c>
      <c r="G30">
        <f t="shared" ref="G30:G36" si="24">189+2604</f>
        <v>2793</v>
      </c>
      <c r="H30">
        <v>0.87239999999999995</v>
      </c>
      <c r="I30">
        <v>1.28</v>
      </c>
      <c r="J30">
        <f t="shared" ref="J30:J36" si="25">17*0.015+1</f>
        <v>1.2549999999999999</v>
      </c>
      <c r="K30">
        <f t="shared" si="20"/>
        <v>3914.175444479999</v>
      </c>
      <c r="L30">
        <v>20</v>
      </c>
      <c r="M30">
        <v>1</v>
      </c>
      <c r="N30">
        <f t="shared" si="21"/>
        <v>2.0594059405940595</v>
      </c>
      <c r="O30">
        <v>0</v>
      </c>
      <c r="P30">
        <v>0.93</v>
      </c>
      <c r="Q30">
        <v>2.2999999999999998</v>
      </c>
      <c r="R30">
        <f t="shared" si="22"/>
        <v>3.1389999999999998</v>
      </c>
      <c r="S30">
        <v>1.1499999999999999</v>
      </c>
      <c r="T30">
        <v>1</v>
      </c>
      <c r="U30">
        <f t="shared" si="23"/>
        <v>29098.553816606665</v>
      </c>
      <c r="V30" s="7"/>
    </row>
    <row r="31" spans="1:22" x14ac:dyDescent="0.3">
      <c r="A31" s="6"/>
      <c r="F31" s="6" t="s">
        <v>35</v>
      </c>
      <c r="G31">
        <f t="shared" si="24"/>
        <v>2793</v>
      </c>
      <c r="H31">
        <v>0.72950000000000004</v>
      </c>
      <c r="I31">
        <v>1.28</v>
      </c>
      <c r="J31">
        <f t="shared" si="25"/>
        <v>1.2549999999999999</v>
      </c>
      <c r="K31">
        <f t="shared" si="20"/>
        <v>3273.0295584</v>
      </c>
      <c r="L31">
        <v>20</v>
      </c>
      <c r="M31">
        <v>1</v>
      </c>
      <c r="N31">
        <f t="shared" si="21"/>
        <v>2.0594059405940595</v>
      </c>
      <c r="O31">
        <v>0</v>
      </c>
      <c r="P31">
        <v>0.93</v>
      </c>
      <c r="Q31">
        <v>2.2999999999999998</v>
      </c>
      <c r="R31">
        <f t="shared" si="22"/>
        <v>3.1389999999999998</v>
      </c>
      <c r="S31">
        <v>1.1499999999999999</v>
      </c>
      <c r="T31">
        <v>1</v>
      </c>
      <c r="U31">
        <f t="shared" si="23"/>
        <v>24332.181349397721</v>
      </c>
      <c r="V31" s="7"/>
    </row>
    <row r="32" spans="1:22" x14ac:dyDescent="0.3">
      <c r="A32" s="6"/>
      <c r="F32" s="6" t="s">
        <v>36</v>
      </c>
      <c r="G32">
        <f t="shared" si="24"/>
        <v>2793</v>
      </c>
      <c r="H32">
        <v>0.87239999999999995</v>
      </c>
      <c r="I32">
        <v>1.28</v>
      </c>
      <c r="J32">
        <f t="shared" si="25"/>
        <v>1.2549999999999999</v>
      </c>
      <c r="K32">
        <f t="shared" si="20"/>
        <v>3914.175444479999</v>
      </c>
      <c r="L32">
        <v>20</v>
      </c>
      <c r="M32">
        <v>1</v>
      </c>
      <c r="N32">
        <f t="shared" si="21"/>
        <v>2.0594059405940595</v>
      </c>
      <c r="O32">
        <v>0</v>
      </c>
      <c r="P32">
        <v>0.93</v>
      </c>
      <c r="Q32">
        <v>2.2999999999999998</v>
      </c>
      <c r="R32">
        <f t="shared" si="22"/>
        <v>3.1389999999999998</v>
      </c>
      <c r="S32">
        <v>1.1499999999999999</v>
      </c>
      <c r="T32">
        <v>1</v>
      </c>
      <c r="U32">
        <f t="shared" si="23"/>
        <v>29098.553816606665</v>
      </c>
      <c r="V32" s="7"/>
    </row>
    <row r="33" spans="1:22" x14ac:dyDescent="0.3">
      <c r="A33" s="6"/>
      <c r="F33" s="6" t="s">
        <v>37</v>
      </c>
      <c r="G33">
        <f t="shared" si="24"/>
        <v>2793</v>
      </c>
      <c r="H33">
        <v>0.72950000000000004</v>
      </c>
      <c r="I33">
        <v>1.28</v>
      </c>
      <c r="J33">
        <f t="shared" si="25"/>
        <v>1.2549999999999999</v>
      </c>
      <c r="K33">
        <f t="shared" si="20"/>
        <v>3273.0295584</v>
      </c>
      <c r="L33">
        <v>20</v>
      </c>
      <c r="M33">
        <v>1</v>
      </c>
      <c r="N33">
        <f t="shared" si="21"/>
        <v>2.0594059405940595</v>
      </c>
      <c r="O33">
        <v>0</v>
      </c>
      <c r="P33">
        <v>0.93</v>
      </c>
      <c r="Q33">
        <v>2.2999999999999998</v>
      </c>
      <c r="R33">
        <f t="shared" si="22"/>
        <v>3.1389999999999998</v>
      </c>
      <c r="S33">
        <v>1.1499999999999999</v>
      </c>
      <c r="T33">
        <v>1</v>
      </c>
      <c r="U33">
        <f t="shared" si="23"/>
        <v>24332.181349397721</v>
      </c>
      <c r="V33" s="7"/>
    </row>
    <row r="34" spans="1:22" x14ac:dyDescent="0.3">
      <c r="A34" s="6"/>
      <c r="F34" s="6" t="s">
        <v>38</v>
      </c>
      <c r="G34">
        <f t="shared" si="24"/>
        <v>2793</v>
      </c>
      <c r="H34">
        <v>0.87239999999999995</v>
      </c>
      <c r="I34">
        <v>1.28</v>
      </c>
      <c r="J34">
        <f t="shared" si="25"/>
        <v>1.2549999999999999</v>
      </c>
      <c r="K34">
        <f t="shared" si="20"/>
        <v>3914.175444479999</v>
      </c>
      <c r="L34">
        <v>20</v>
      </c>
      <c r="M34">
        <v>1</v>
      </c>
      <c r="N34">
        <f t="shared" si="21"/>
        <v>2.0594059405940595</v>
      </c>
      <c r="O34">
        <v>0</v>
      </c>
      <c r="P34">
        <v>0.93</v>
      </c>
      <c r="Q34">
        <v>2.2999999999999998</v>
      </c>
      <c r="R34">
        <f t="shared" si="22"/>
        <v>3.1389999999999998</v>
      </c>
      <c r="S34">
        <v>1.1499999999999999</v>
      </c>
      <c r="T34">
        <v>1</v>
      </c>
      <c r="U34">
        <f t="shared" si="23"/>
        <v>29098.553816606665</v>
      </c>
      <c r="V34" s="7"/>
    </row>
    <row r="35" spans="1:22" x14ac:dyDescent="0.3">
      <c r="A35" s="6"/>
      <c r="F35" s="6" t="s">
        <v>39</v>
      </c>
      <c r="G35">
        <f t="shared" si="24"/>
        <v>2793</v>
      </c>
      <c r="H35">
        <v>0.72950000000000004</v>
      </c>
      <c r="I35">
        <v>1.28</v>
      </c>
      <c r="J35">
        <f t="shared" si="25"/>
        <v>1.2549999999999999</v>
      </c>
      <c r="K35">
        <f t="shared" si="20"/>
        <v>3273.0295584</v>
      </c>
      <c r="L35">
        <v>20</v>
      </c>
      <c r="M35">
        <v>1</v>
      </c>
      <c r="N35">
        <f t="shared" si="21"/>
        <v>2.0594059405940595</v>
      </c>
      <c r="O35">
        <v>0</v>
      </c>
      <c r="P35">
        <v>0.93</v>
      </c>
      <c r="Q35">
        <v>2.2999999999999998</v>
      </c>
      <c r="R35">
        <f t="shared" si="22"/>
        <v>3.1389999999999998</v>
      </c>
      <c r="S35">
        <v>0.9</v>
      </c>
      <c r="T35">
        <v>1</v>
      </c>
      <c r="U35">
        <f t="shared" si="23"/>
        <v>19042.576708224304</v>
      </c>
      <c r="V35" s="7"/>
    </row>
    <row r="36" spans="1:22" x14ac:dyDescent="0.3">
      <c r="A36" s="6"/>
      <c r="F36" s="6" t="s">
        <v>40</v>
      </c>
      <c r="G36">
        <f t="shared" si="24"/>
        <v>2793</v>
      </c>
      <c r="H36">
        <v>0.87239999999999995</v>
      </c>
      <c r="I36">
        <v>1.28</v>
      </c>
      <c r="J36">
        <f t="shared" si="25"/>
        <v>1.2549999999999999</v>
      </c>
      <c r="K36">
        <f t="shared" si="20"/>
        <v>3914.175444479999</v>
      </c>
      <c r="L36">
        <v>20</v>
      </c>
      <c r="M36">
        <v>1</v>
      </c>
      <c r="N36">
        <f t="shared" si="21"/>
        <v>2.0594059405940595</v>
      </c>
      <c r="O36">
        <v>0</v>
      </c>
      <c r="P36">
        <v>0.93</v>
      </c>
      <c r="Q36">
        <v>2.2999999999999998</v>
      </c>
      <c r="R36">
        <f t="shared" si="22"/>
        <v>3.1389999999999998</v>
      </c>
      <c r="S36">
        <v>0.9</v>
      </c>
      <c r="T36">
        <v>1</v>
      </c>
      <c r="U36">
        <f t="shared" si="23"/>
        <v>22772.781247779134</v>
      </c>
      <c r="V36" s="7"/>
    </row>
    <row r="37" spans="1:22" x14ac:dyDescent="0.3">
      <c r="A37" s="6"/>
      <c r="F37" s="6" t="s">
        <v>41</v>
      </c>
      <c r="G37">
        <v>2604</v>
      </c>
      <c r="H37">
        <v>0.72950000000000004</v>
      </c>
      <c r="I37">
        <v>1.28</v>
      </c>
      <c r="J37">
        <v>1.24</v>
      </c>
      <c r="K37">
        <f t="shared" si="20"/>
        <v>3015.0736896000003</v>
      </c>
      <c r="L37">
        <v>20</v>
      </c>
      <c r="M37">
        <v>0.5</v>
      </c>
      <c r="N37">
        <f t="shared" si="21"/>
        <v>1.5594059405940595</v>
      </c>
      <c r="O37">
        <v>0</v>
      </c>
      <c r="P37">
        <v>0.93</v>
      </c>
      <c r="Q37">
        <v>2.2999999999999998</v>
      </c>
      <c r="R37">
        <f t="shared" si="22"/>
        <v>3.1389999999999998</v>
      </c>
      <c r="S37">
        <v>0.9</v>
      </c>
      <c r="T37">
        <v>1</v>
      </c>
      <c r="U37">
        <f t="shared" si="23"/>
        <v>13282.839972049618</v>
      </c>
      <c r="V37" s="7"/>
    </row>
    <row r="38" spans="1:22" x14ac:dyDescent="0.3">
      <c r="A38" s="6"/>
      <c r="F38" s="6"/>
      <c r="V38" s="7"/>
    </row>
    <row r="39" spans="1:22" x14ac:dyDescent="0.3">
      <c r="A39" s="6"/>
      <c r="F39" s="6"/>
      <c r="G39" t="s">
        <v>1</v>
      </c>
      <c r="H39" t="s">
        <v>5</v>
      </c>
      <c r="I39" t="s">
        <v>7</v>
      </c>
      <c r="J39" t="s">
        <v>7</v>
      </c>
      <c r="K39" t="s">
        <v>8</v>
      </c>
      <c r="L39" t="s">
        <v>22</v>
      </c>
      <c r="M39" t="s">
        <v>0</v>
      </c>
      <c r="N39" t="s">
        <v>11</v>
      </c>
      <c r="O39" t="s">
        <v>12</v>
      </c>
      <c r="P39" t="s">
        <v>13</v>
      </c>
      <c r="Q39" t="s">
        <v>15</v>
      </c>
      <c r="R39" t="s">
        <v>23</v>
      </c>
      <c r="S39" t="s">
        <v>24</v>
      </c>
      <c r="T39" t="s">
        <v>16</v>
      </c>
      <c r="V39" s="7"/>
    </row>
    <row r="40" spans="1:22" x14ac:dyDescent="0.3">
      <c r="A40" s="6"/>
      <c r="F40" s="6"/>
      <c r="G40">
        <f>G28</f>
        <v>2604</v>
      </c>
      <c r="H40">
        <v>1.9454</v>
      </c>
      <c r="I40">
        <v>1</v>
      </c>
      <c r="J40">
        <v>1</v>
      </c>
      <c r="K40">
        <f>G40*H40*I40*J40</f>
        <v>5065.8216000000002</v>
      </c>
      <c r="L40">
        <v>1</v>
      </c>
      <c r="M40">
        <v>0.93</v>
      </c>
      <c r="N40">
        <v>2.2999999999999998</v>
      </c>
      <c r="O40">
        <f>1+M40*N40</f>
        <v>3.1389999999999998</v>
      </c>
      <c r="P40">
        <v>0.9</v>
      </c>
      <c r="Q40">
        <f>K40*L40*O40*P40</f>
        <v>14311.45260216</v>
      </c>
      <c r="R40">
        <v>1</v>
      </c>
      <c r="S40">
        <f>Q40*R40</f>
        <v>14311.45260216</v>
      </c>
      <c r="T40">
        <f>SUM(S40:S41)</f>
        <v>136818.63331352998</v>
      </c>
      <c r="V40" s="7"/>
    </row>
    <row r="41" spans="1:22" ht="14.5" thickBot="1" x14ac:dyDescent="0.35">
      <c r="A41" s="6"/>
      <c r="F41" s="8"/>
      <c r="G41" s="9">
        <f>G32</f>
        <v>2793</v>
      </c>
      <c r="H41" s="9">
        <v>1.7251000000000001</v>
      </c>
      <c r="I41" s="9">
        <v>1</v>
      </c>
      <c r="J41" s="9">
        <v>1</v>
      </c>
      <c r="K41" s="9">
        <f>G41*H41*I41*J41</f>
        <v>4818.2043000000003</v>
      </c>
      <c r="L41" s="9">
        <v>1</v>
      </c>
      <c r="M41" s="9">
        <v>0.93</v>
      </c>
      <c r="N41" s="9">
        <v>2.2999999999999998</v>
      </c>
      <c r="O41" s="9">
        <f>1+M41*N41</f>
        <v>3.1389999999999998</v>
      </c>
      <c r="P41" s="9">
        <v>0.9</v>
      </c>
      <c r="Q41" s="9">
        <f>K41*L41*O41*P41</f>
        <v>13611.90896793</v>
      </c>
      <c r="R41" s="9">
        <v>9</v>
      </c>
      <c r="S41" s="9">
        <f>Q41*R41</f>
        <v>122507.18071136999</v>
      </c>
      <c r="T41" s="9"/>
      <c r="U41" s="9"/>
      <c r="V41" s="10"/>
    </row>
    <row r="42" spans="1:22" x14ac:dyDescent="0.3">
      <c r="A42" s="6"/>
      <c r="V42" s="7"/>
    </row>
    <row r="43" spans="1:22" ht="14.5" thickBot="1" x14ac:dyDescent="0.35">
      <c r="A43" s="6"/>
      <c r="F43" s="22" t="s">
        <v>53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7"/>
    </row>
    <row r="44" spans="1:22" x14ac:dyDescent="0.3">
      <c r="A44" s="6"/>
      <c r="F44" s="3"/>
      <c r="G44" s="4" t="s">
        <v>42</v>
      </c>
      <c r="H44" s="4" t="s">
        <v>43</v>
      </c>
      <c r="I44" s="4" t="s">
        <v>6</v>
      </c>
      <c r="J44" s="4" t="s">
        <v>2</v>
      </c>
      <c r="K44" s="4" t="s">
        <v>18</v>
      </c>
      <c r="L44" s="4" t="s">
        <v>9</v>
      </c>
      <c r="M44" s="4" t="s">
        <v>0</v>
      </c>
      <c r="N44" s="4" t="s">
        <v>11</v>
      </c>
      <c r="O44" s="4" t="s">
        <v>12</v>
      </c>
      <c r="P44" s="4" t="s">
        <v>13</v>
      </c>
      <c r="Q44" s="4" t="s">
        <v>14</v>
      </c>
      <c r="R44" s="4" t="s">
        <v>48</v>
      </c>
      <c r="S44" s="4" t="s">
        <v>49</v>
      </c>
      <c r="T44" s="4" t="s">
        <v>51</v>
      </c>
      <c r="U44" s="5" t="s">
        <v>16</v>
      </c>
      <c r="V44" s="7"/>
    </row>
    <row r="45" spans="1:22" x14ac:dyDescent="0.3">
      <c r="A45" s="6"/>
      <c r="F45" s="6" t="s">
        <v>44</v>
      </c>
      <c r="G45">
        <v>1446.85</v>
      </c>
      <c r="H45">
        <v>2</v>
      </c>
      <c r="I45">
        <v>1.28</v>
      </c>
      <c r="J45">
        <v>200</v>
      </c>
      <c r="K45">
        <v>2.08</v>
      </c>
      <c r="L45">
        <f>1+6*J45/(J45+2000)+K45</f>
        <v>3.6254545454545455</v>
      </c>
      <c r="M45">
        <v>0.85</v>
      </c>
      <c r="N45">
        <v>2.2200000000000002</v>
      </c>
      <c r="O45">
        <f>1+M45*N45</f>
        <v>2.887</v>
      </c>
      <c r="P45">
        <v>1.1499999999999999</v>
      </c>
      <c r="Q45">
        <v>1</v>
      </c>
      <c r="R45">
        <v>0.6</v>
      </c>
      <c r="S45">
        <f>G45*H45*I45*L45*O45*P45*Q45*R45</f>
        <v>26749.878455235488</v>
      </c>
      <c r="T45">
        <v>2</v>
      </c>
      <c r="U45" s="7">
        <f>T47*T45</f>
        <v>67291.972472368798</v>
      </c>
      <c r="V45" s="7"/>
    </row>
    <row r="46" spans="1:22" x14ac:dyDescent="0.3">
      <c r="A46" s="6"/>
      <c r="F46" s="6" t="s">
        <v>45</v>
      </c>
      <c r="G46">
        <v>1446.85</v>
      </c>
      <c r="H46">
        <v>2</v>
      </c>
      <c r="I46">
        <v>1.28</v>
      </c>
      <c r="J46">
        <v>0</v>
      </c>
      <c r="K46">
        <v>1.6</v>
      </c>
      <c r="L46">
        <f t="shared" ref="L46:L48" si="26">1+6*J46/(J46+2000)+K46</f>
        <v>2.6</v>
      </c>
      <c r="M46">
        <v>0.5</v>
      </c>
      <c r="N46">
        <v>1.5</v>
      </c>
      <c r="O46">
        <f t="shared" ref="O46:O48" si="27">1+M46*N46</f>
        <v>1.75</v>
      </c>
      <c r="P46">
        <v>0.9</v>
      </c>
      <c r="Q46">
        <v>1</v>
      </c>
      <c r="R46">
        <v>0.3</v>
      </c>
      <c r="S46">
        <f t="shared" ref="S46:S48" si="28">G46*H46*I46*L46*O46*P46*Q46*R46</f>
        <v>4550.2853759999998</v>
      </c>
      <c r="T46" t="s">
        <v>15</v>
      </c>
      <c r="U46" s="7"/>
      <c r="V46" s="7"/>
    </row>
    <row r="47" spans="1:22" x14ac:dyDescent="0.3">
      <c r="A47" s="6"/>
      <c r="F47" s="6" t="s">
        <v>46</v>
      </c>
      <c r="G47">
        <v>1446.85</v>
      </c>
      <c r="H47">
        <v>2</v>
      </c>
      <c r="I47">
        <v>1.28</v>
      </c>
      <c r="J47">
        <v>20</v>
      </c>
      <c r="K47">
        <v>1</v>
      </c>
      <c r="L47">
        <f t="shared" si="26"/>
        <v>2.0594059405940595</v>
      </c>
      <c r="M47">
        <v>0.93</v>
      </c>
      <c r="N47">
        <v>2.2999999999999998</v>
      </c>
      <c r="O47">
        <f t="shared" si="27"/>
        <v>3.1389999999999998</v>
      </c>
      <c r="P47">
        <v>1.1499999999999999</v>
      </c>
      <c r="Q47">
        <v>1</v>
      </c>
      <c r="R47">
        <v>0.05</v>
      </c>
      <c r="S47">
        <f t="shared" si="28"/>
        <v>1376.7801489489107</v>
      </c>
      <c r="T47">
        <f>SUM(S45:S48)</f>
        <v>33645.986236184399</v>
      </c>
      <c r="U47" s="7"/>
      <c r="V47" s="7"/>
    </row>
    <row r="48" spans="1:22" x14ac:dyDescent="0.3">
      <c r="A48" s="6"/>
      <c r="F48" s="6" t="s">
        <v>47</v>
      </c>
      <c r="G48">
        <v>1446.85</v>
      </c>
      <c r="H48">
        <v>2</v>
      </c>
      <c r="I48">
        <v>1.28</v>
      </c>
      <c r="J48">
        <v>0</v>
      </c>
      <c r="K48">
        <v>1.6</v>
      </c>
      <c r="L48">
        <f t="shared" si="26"/>
        <v>2.6</v>
      </c>
      <c r="M48">
        <v>0.5</v>
      </c>
      <c r="N48">
        <v>1.5</v>
      </c>
      <c r="O48">
        <f t="shared" si="27"/>
        <v>1.75</v>
      </c>
      <c r="P48">
        <v>1.1499999999999999</v>
      </c>
      <c r="Q48">
        <v>1</v>
      </c>
      <c r="R48">
        <v>0.05</v>
      </c>
      <c r="S48">
        <f t="shared" si="28"/>
        <v>969.04225599999972</v>
      </c>
      <c r="U48" s="7"/>
      <c r="V48" s="7"/>
    </row>
    <row r="49" spans="1:22" x14ac:dyDescent="0.3">
      <c r="A49" s="6"/>
      <c r="F49" s="6"/>
      <c r="U49" s="7"/>
      <c r="V49" s="7"/>
    </row>
    <row r="50" spans="1:22" x14ac:dyDescent="0.3">
      <c r="A50" s="6"/>
      <c r="F50" s="6"/>
      <c r="G50" t="s">
        <v>42</v>
      </c>
      <c r="H50" t="s">
        <v>43</v>
      </c>
      <c r="I50" t="s">
        <v>6</v>
      </c>
      <c r="J50" t="s">
        <v>2</v>
      </c>
      <c r="K50" t="s">
        <v>18</v>
      </c>
      <c r="L50" t="s">
        <v>9</v>
      </c>
      <c r="M50" t="s">
        <v>0</v>
      </c>
      <c r="N50" t="s">
        <v>11</v>
      </c>
      <c r="O50" t="s">
        <v>12</v>
      </c>
      <c r="P50" t="s">
        <v>13</v>
      </c>
      <c r="Q50" t="s">
        <v>14</v>
      </c>
      <c r="R50" t="s">
        <v>48</v>
      </c>
      <c r="S50" t="s">
        <v>49</v>
      </c>
      <c r="T50" t="s">
        <v>51</v>
      </c>
      <c r="U50" s="7" t="s">
        <v>16</v>
      </c>
      <c r="V50" s="7"/>
    </row>
    <row r="51" spans="1:22" x14ac:dyDescent="0.3">
      <c r="A51" s="6"/>
      <c r="F51" s="6" t="s">
        <v>44</v>
      </c>
      <c r="G51">
        <v>1446.85</v>
      </c>
      <c r="H51">
        <v>2</v>
      </c>
      <c r="I51">
        <v>1.28</v>
      </c>
      <c r="J51">
        <v>200</v>
      </c>
      <c r="K51">
        <v>2.08</v>
      </c>
      <c r="L51">
        <f>1+6*J51/(J51+2000)+K51</f>
        <v>3.6254545454545455</v>
      </c>
      <c r="M51">
        <v>0.85</v>
      </c>
      <c r="N51">
        <v>2.2200000000000002</v>
      </c>
      <c r="O51">
        <f>1+M51*N51</f>
        <v>2.887</v>
      </c>
      <c r="P51">
        <v>0.9</v>
      </c>
      <c r="Q51">
        <v>1</v>
      </c>
      <c r="R51">
        <v>0.6</v>
      </c>
      <c r="S51">
        <f>G51*H51*I51*L51*O51*P51*Q51*R51</f>
        <v>20934.687486706036</v>
      </c>
      <c r="T51">
        <v>2</v>
      </c>
      <c r="U51" s="7">
        <f>T53*T51</f>
        <v>54641.667750549495</v>
      </c>
      <c r="V51" s="7"/>
    </row>
    <row r="52" spans="1:22" x14ac:dyDescent="0.3">
      <c r="A52" s="6"/>
      <c r="F52" s="6" t="s">
        <v>45</v>
      </c>
      <c r="G52">
        <v>1446.85</v>
      </c>
      <c r="H52">
        <v>2</v>
      </c>
      <c r="I52">
        <v>1.28</v>
      </c>
      <c r="J52">
        <v>0</v>
      </c>
      <c r="K52">
        <v>1.6</v>
      </c>
      <c r="L52">
        <f t="shared" ref="L52:L54" si="29">1+6*J52/(J52+2000)+K52</f>
        <v>2.6</v>
      </c>
      <c r="M52">
        <v>0.5</v>
      </c>
      <c r="N52">
        <v>1.5</v>
      </c>
      <c r="O52">
        <f t="shared" ref="O52:O54" si="30">1+M52*N52</f>
        <v>1.75</v>
      </c>
      <c r="P52">
        <v>0.9</v>
      </c>
      <c r="Q52">
        <v>1</v>
      </c>
      <c r="R52">
        <v>0.3</v>
      </c>
      <c r="S52">
        <f t="shared" ref="S52:S54" si="31">G52*H52*I52*L52*O52*P52*Q52*R52</f>
        <v>4550.2853759999998</v>
      </c>
      <c r="T52" t="s">
        <v>15</v>
      </c>
      <c r="U52" s="7"/>
      <c r="V52" s="7"/>
    </row>
    <row r="53" spans="1:22" x14ac:dyDescent="0.3">
      <c r="A53" s="6"/>
      <c r="F53" s="6" t="s">
        <v>46</v>
      </c>
      <c r="G53">
        <v>1446.85</v>
      </c>
      <c r="H53">
        <v>2</v>
      </c>
      <c r="I53">
        <v>1.28</v>
      </c>
      <c r="J53">
        <v>20</v>
      </c>
      <c r="K53">
        <v>1</v>
      </c>
      <c r="L53">
        <f t="shared" si="29"/>
        <v>2.0594059405940595</v>
      </c>
      <c r="M53">
        <v>0.93</v>
      </c>
      <c r="N53">
        <v>2.2999999999999998</v>
      </c>
      <c r="O53">
        <f t="shared" si="30"/>
        <v>3.1389999999999998</v>
      </c>
      <c r="P53">
        <v>0.9</v>
      </c>
      <c r="Q53">
        <v>1</v>
      </c>
      <c r="R53">
        <v>0.05</v>
      </c>
      <c r="S53">
        <f t="shared" si="31"/>
        <v>1077.4801165687129</v>
      </c>
      <c r="T53">
        <f>SUM(S51:S54)</f>
        <v>27320.833875274748</v>
      </c>
      <c r="U53" s="7"/>
      <c r="V53" s="7"/>
    </row>
    <row r="54" spans="1:22" ht="14.5" thickBot="1" x14ac:dyDescent="0.35">
      <c r="A54" s="6"/>
      <c r="F54" s="8" t="s">
        <v>47</v>
      </c>
      <c r="G54" s="9">
        <v>1446.85</v>
      </c>
      <c r="H54" s="9">
        <v>2</v>
      </c>
      <c r="I54" s="9">
        <v>1.28</v>
      </c>
      <c r="J54" s="9">
        <v>0</v>
      </c>
      <c r="K54" s="9">
        <v>1.6</v>
      </c>
      <c r="L54" s="9">
        <f t="shared" si="29"/>
        <v>2.6</v>
      </c>
      <c r="M54">
        <v>0.5</v>
      </c>
      <c r="N54" s="9">
        <v>1.5</v>
      </c>
      <c r="O54" s="9">
        <f t="shared" si="30"/>
        <v>1.75</v>
      </c>
      <c r="P54" s="9">
        <v>0.9</v>
      </c>
      <c r="Q54" s="9">
        <v>1</v>
      </c>
      <c r="R54" s="9">
        <v>0.05</v>
      </c>
      <c r="S54" s="9">
        <f t="shared" si="31"/>
        <v>758.38089600000001</v>
      </c>
      <c r="T54" s="9"/>
      <c r="U54" s="10"/>
      <c r="V54" s="7"/>
    </row>
    <row r="55" spans="1:22" ht="14.5" thickBot="1" x14ac:dyDescent="0.35">
      <c r="A55" s="6"/>
      <c r="F55" s="23" t="s">
        <v>54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7"/>
    </row>
    <row r="56" spans="1:22" x14ac:dyDescent="0.3">
      <c r="A56" s="6"/>
      <c r="F56" s="3"/>
      <c r="G56" s="4" t="s">
        <v>42</v>
      </c>
      <c r="H56" s="4" t="s">
        <v>52</v>
      </c>
      <c r="I56" s="4" t="s">
        <v>6</v>
      </c>
      <c r="J56" s="4" t="s">
        <v>2</v>
      </c>
      <c r="K56" s="4" t="s">
        <v>18</v>
      </c>
      <c r="L56" s="4" t="s">
        <v>9</v>
      </c>
      <c r="M56" s="4" t="s">
        <v>0</v>
      </c>
      <c r="N56" s="4" t="s">
        <v>11</v>
      </c>
      <c r="O56" s="4" t="s">
        <v>12</v>
      </c>
      <c r="P56" s="4" t="s">
        <v>13</v>
      </c>
      <c r="Q56" s="4" t="s">
        <v>14</v>
      </c>
      <c r="R56" s="4" t="s">
        <v>48</v>
      </c>
      <c r="S56" s="4" t="s">
        <v>49</v>
      </c>
      <c r="T56" s="4" t="s">
        <v>51</v>
      </c>
      <c r="U56" s="5" t="s">
        <v>16</v>
      </c>
      <c r="V56" s="7"/>
    </row>
    <row r="57" spans="1:22" x14ac:dyDescent="0.3">
      <c r="A57" s="6"/>
      <c r="F57" s="6" t="s">
        <v>44</v>
      </c>
      <c r="G57">
        <v>1446.85</v>
      </c>
      <c r="H57">
        <v>0.75</v>
      </c>
      <c r="I57">
        <v>1.28</v>
      </c>
      <c r="J57">
        <v>0</v>
      </c>
      <c r="K57">
        <v>1.6</v>
      </c>
      <c r="L57">
        <f t="shared" ref="L57" si="32">1+6*J57/(J57+2000)+K57</f>
        <v>2.6</v>
      </c>
      <c r="M57">
        <v>0.5</v>
      </c>
      <c r="N57">
        <v>1.5</v>
      </c>
      <c r="O57">
        <f t="shared" ref="O57" si="33">1+M57*N57</f>
        <v>1.75</v>
      </c>
      <c r="P57">
        <v>0.9</v>
      </c>
      <c r="Q57">
        <v>1</v>
      </c>
      <c r="R57">
        <v>0.6</v>
      </c>
      <c r="S57">
        <f>G57*H57*I57*L57*O57*P57*Q57*R57</f>
        <v>3412.7140319999999</v>
      </c>
      <c r="T57">
        <v>4</v>
      </c>
      <c r="U57" s="7">
        <f>T59*T57</f>
        <v>37231.998576849983</v>
      </c>
      <c r="V57" s="7"/>
    </row>
    <row r="58" spans="1:22" x14ac:dyDescent="0.3">
      <c r="A58" s="6"/>
      <c r="F58" s="6" t="s">
        <v>45</v>
      </c>
      <c r="G58">
        <v>1446.85</v>
      </c>
      <c r="H58">
        <v>0.75</v>
      </c>
      <c r="I58">
        <v>1.28</v>
      </c>
      <c r="J58">
        <v>200</v>
      </c>
      <c r="K58">
        <v>2.08</v>
      </c>
      <c r="L58">
        <f>1+6*J58/(J58+2000)+K58</f>
        <v>3.6254545454545455</v>
      </c>
      <c r="M58">
        <v>0.85</v>
      </c>
      <c r="N58">
        <v>2.2200000000000002</v>
      </c>
      <c r="O58">
        <f>1+M58*N58</f>
        <v>2.887</v>
      </c>
      <c r="P58">
        <v>1.1499999999999999</v>
      </c>
      <c r="Q58">
        <v>1</v>
      </c>
      <c r="R58">
        <v>0.3</v>
      </c>
      <c r="S58">
        <f t="shared" ref="S58:S60" si="34">G58*H58*I58*L58*O58*P58*Q58*R58</f>
        <v>5015.6022103566538</v>
      </c>
      <c r="T58" t="s">
        <v>15</v>
      </c>
      <c r="U58" s="7"/>
      <c r="V58" s="7"/>
    </row>
    <row r="59" spans="1:22" x14ac:dyDescent="0.3">
      <c r="A59" s="6"/>
      <c r="F59" s="6" t="s">
        <v>46</v>
      </c>
      <c r="G59">
        <v>1446.85</v>
      </c>
      <c r="H59">
        <v>0.75</v>
      </c>
      <c r="I59">
        <v>1.28</v>
      </c>
      <c r="J59">
        <v>20</v>
      </c>
      <c r="K59">
        <v>1</v>
      </c>
      <c r="L59">
        <f t="shared" ref="L59:L60" si="35">1+6*J59/(J59+2000)+K59</f>
        <v>2.0594059405940595</v>
      </c>
      <c r="M59">
        <v>0.93</v>
      </c>
      <c r="N59">
        <v>2.2999999999999998</v>
      </c>
      <c r="O59">
        <f t="shared" ref="O59:O60" si="36">1+M59*N59</f>
        <v>3.1389999999999998</v>
      </c>
      <c r="P59">
        <v>1.1499999999999999</v>
      </c>
      <c r="Q59">
        <v>1</v>
      </c>
      <c r="R59">
        <v>0.05</v>
      </c>
      <c r="S59">
        <f t="shared" si="34"/>
        <v>516.29255585584156</v>
      </c>
      <c r="T59">
        <f>SUM(S57:S60)</f>
        <v>9307.9996442124957</v>
      </c>
      <c r="U59" s="7"/>
      <c r="V59" s="7"/>
    </row>
    <row r="60" spans="1:22" x14ac:dyDescent="0.3">
      <c r="A60" s="6"/>
      <c r="F60" s="6" t="s">
        <v>47</v>
      </c>
      <c r="G60">
        <v>1446.85</v>
      </c>
      <c r="H60">
        <v>0.75</v>
      </c>
      <c r="I60">
        <v>1.28</v>
      </c>
      <c r="J60">
        <v>0</v>
      </c>
      <c r="K60">
        <v>1.6</v>
      </c>
      <c r="L60">
        <f t="shared" si="35"/>
        <v>2.6</v>
      </c>
      <c r="M60">
        <v>0.5</v>
      </c>
      <c r="N60">
        <v>1.5</v>
      </c>
      <c r="O60">
        <f t="shared" si="36"/>
        <v>1.75</v>
      </c>
      <c r="P60">
        <v>1.1499999999999999</v>
      </c>
      <c r="Q60">
        <v>1</v>
      </c>
      <c r="R60">
        <v>0.05</v>
      </c>
      <c r="S60">
        <f t="shared" si="34"/>
        <v>363.39084600000001</v>
      </c>
      <c r="U60" s="7"/>
      <c r="V60" s="7"/>
    </row>
    <row r="61" spans="1:22" x14ac:dyDescent="0.3">
      <c r="A61" s="6"/>
      <c r="F61" s="6"/>
      <c r="U61" s="7"/>
      <c r="V61" s="7"/>
    </row>
    <row r="62" spans="1:22" x14ac:dyDescent="0.3">
      <c r="A62" s="6"/>
      <c r="F62" s="6"/>
      <c r="G62" t="s">
        <v>42</v>
      </c>
      <c r="H62" t="s">
        <v>52</v>
      </c>
      <c r="I62" t="s">
        <v>6</v>
      </c>
      <c r="J62" t="s">
        <v>2</v>
      </c>
      <c r="K62" t="s">
        <v>18</v>
      </c>
      <c r="L62" t="s">
        <v>9</v>
      </c>
      <c r="M62" t="s">
        <v>0</v>
      </c>
      <c r="N62" t="s">
        <v>11</v>
      </c>
      <c r="O62" t="s">
        <v>12</v>
      </c>
      <c r="P62" t="s">
        <v>13</v>
      </c>
      <c r="Q62" t="s">
        <v>14</v>
      </c>
      <c r="R62" t="s">
        <v>48</v>
      </c>
      <c r="S62" t="s">
        <v>49</v>
      </c>
      <c r="T62" t="s">
        <v>51</v>
      </c>
      <c r="U62" s="7" t="s">
        <v>16</v>
      </c>
      <c r="V62" s="7"/>
    </row>
    <row r="63" spans="1:22" x14ac:dyDescent="0.3">
      <c r="A63" s="6"/>
      <c r="F63" s="6" t="s">
        <v>44</v>
      </c>
      <c r="G63">
        <v>1446.85</v>
      </c>
      <c r="H63">
        <v>0.75</v>
      </c>
      <c r="I63">
        <v>1.28</v>
      </c>
      <c r="J63">
        <v>0</v>
      </c>
      <c r="K63">
        <v>1.6</v>
      </c>
      <c r="L63">
        <f t="shared" ref="L63" si="37">1+6*J63/(J63+2000)+K63</f>
        <v>2.6</v>
      </c>
      <c r="M63">
        <v>0.5</v>
      </c>
      <c r="N63">
        <v>1.5</v>
      </c>
      <c r="O63">
        <f t="shared" ref="O63" si="38">1+M63*N63</f>
        <v>1.75</v>
      </c>
      <c r="P63">
        <v>0.9</v>
      </c>
      <c r="Q63">
        <v>1</v>
      </c>
      <c r="R63">
        <v>0.6</v>
      </c>
      <c r="S63">
        <f>G63*H63*I63*L63*O63*P63*Q63*R63</f>
        <v>3412.7140319999999</v>
      </c>
      <c r="T63">
        <v>2</v>
      </c>
      <c r="U63" s="7">
        <f>T65*T63</f>
        <v>16435.302675226445</v>
      </c>
      <c r="V63" s="7"/>
    </row>
    <row r="64" spans="1:22" x14ac:dyDescent="0.3">
      <c r="A64" s="6"/>
      <c r="F64" s="6" t="s">
        <v>45</v>
      </c>
      <c r="G64">
        <v>1446.85</v>
      </c>
      <c r="H64">
        <v>0.75</v>
      </c>
      <c r="I64">
        <v>1.28</v>
      </c>
      <c r="J64">
        <v>200</v>
      </c>
      <c r="K64">
        <v>2.08</v>
      </c>
      <c r="L64">
        <f>1+6*J64/(J64+2000)+K64</f>
        <v>3.6254545454545455</v>
      </c>
      <c r="M64">
        <v>0.85</v>
      </c>
      <c r="N64">
        <v>2.2200000000000002</v>
      </c>
      <c r="O64">
        <f>1+M64*N64</f>
        <v>2.887</v>
      </c>
      <c r="P64">
        <v>0.9</v>
      </c>
      <c r="Q64">
        <v>1</v>
      </c>
      <c r="R64">
        <v>0.3</v>
      </c>
      <c r="S64">
        <f t="shared" ref="S64:S66" si="39">G64*H64*I64*L64*O64*P64*Q64*R64</f>
        <v>3925.2539037573815</v>
      </c>
      <c r="T64" t="s">
        <v>15</v>
      </c>
      <c r="U64" s="7"/>
      <c r="V64" s="7"/>
    </row>
    <row r="65" spans="1:22" x14ac:dyDescent="0.3">
      <c r="A65" s="6"/>
      <c r="F65" s="6" t="s">
        <v>46</v>
      </c>
      <c r="G65">
        <v>1446.85</v>
      </c>
      <c r="H65">
        <v>0.75</v>
      </c>
      <c r="I65">
        <v>1.28</v>
      </c>
      <c r="J65">
        <v>20</v>
      </c>
      <c r="K65">
        <v>1</v>
      </c>
      <c r="L65">
        <f t="shared" ref="L65:L66" si="40">1+6*J65/(J65+2000)+K65</f>
        <v>2.0594059405940595</v>
      </c>
      <c r="M65">
        <v>0.93</v>
      </c>
      <c r="N65">
        <v>2.2999999999999998</v>
      </c>
      <c r="O65">
        <f t="shared" ref="O65:O66" si="41">1+M65*N65</f>
        <v>3.1389999999999998</v>
      </c>
      <c r="P65">
        <v>1.1499999999999999</v>
      </c>
      <c r="Q65">
        <v>1</v>
      </c>
      <c r="R65">
        <v>0.05</v>
      </c>
      <c r="S65">
        <f t="shared" si="39"/>
        <v>516.29255585584156</v>
      </c>
      <c r="T65">
        <f>SUM(S63:S66)</f>
        <v>8217.6513376132225</v>
      </c>
      <c r="U65" s="7"/>
      <c r="V65" s="7"/>
    </row>
    <row r="66" spans="1:22" ht="14.5" thickBot="1" x14ac:dyDescent="0.35">
      <c r="A66" s="8"/>
      <c r="B66" s="9"/>
      <c r="C66" s="9"/>
      <c r="D66" s="9"/>
      <c r="E66" s="9"/>
      <c r="F66" s="8" t="s">
        <v>47</v>
      </c>
      <c r="G66" s="9">
        <v>1446.85</v>
      </c>
      <c r="H66" s="9">
        <v>0.75</v>
      </c>
      <c r="I66" s="9">
        <v>1.28</v>
      </c>
      <c r="J66" s="9">
        <v>0</v>
      </c>
      <c r="K66" s="9">
        <v>1.6</v>
      </c>
      <c r="L66" s="9">
        <f t="shared" si="40"/>
        <v>2.6</v>
      </c>
      <c r="M66" s="9">
        <v>0.5</v>
      </c>
      <c r="N66" s="9">
        <v>1.5</v>
      </c>
      <c r="O66" s="9">
        <f t="shared" si="41"/>
        <v>1.75</v>
      </c>
      <c r="P66" s="9">
        <v>1.1499999999999999</v>
      </c>
      <c r="Q66" s="9">
        <v>1</v>
      </c>
      <c r="R66" s="9">
        <v>0.05</v>
      </c>
      <c r="S66" s="9">
        <f t="shared" si="39"/>
        <v>363.39084600000001</v>
      </c>
      <c r="T66" s="9"/>
      <c r="U66" s="10"/>
      <c r="V66" s="10"/>
    </row>
    <row r="74" spans="1:22" ht="14.5" thickBot="1" x14ac:dyDescent="0.35"/>
    <row r="75" spans="1:22" x14ac:dyDescent="0.3">
      <c r="A75" s="15" t="s">
        <v>63</v>
      </c>
      <c r="B75" s="16"/>
      <c r="C75" s="16"/>
      <c r="D75" s="17"/>
      <c r="E75" s="11"/>
      <c r="F75" s="3" t="s">
        <v>4</v>
      </c>
      <c r="G75" s="4" t="s">
        <v>1</v>
      </c>
      <c r="H75" s="4" t="s">
        <v>5</v>
      </c>
      <c r="I75" s="4" t="s">
        <v>6</v>
      </c>
      <c r="J75" s="4" t="s">
        <v>7</v>
      </c>
      <c r="K75" s="4" t="s">
        <v>8</v>
      </c>
      <c r="L75" s="4" t="s">
        <v>2</v>
      </c>
      <c r="M75" s="4" t="s">
        <v>18</v>
      </c>
      <c r="N75" s="4" t="s">
        <v>9</v>
      </c>
      <c r="O75" s="4" t="s">
        <v>10</v>
      </c>
      <c r="P75" s="4" t="s">
        <v>0</v>
      </c>
      <c r="Q75" s="4" t="s">
        <v>11</v>
      </c>
      <c r="R75" s="4" t="s">
        <v>12</v>
      </c>
      <c r="S75" s="4" t="s">
        <v>13</v>
      </c>
      <c r="T75" s="4" t="s">
        <v>14</v>
      </c>
      <c r="U75" s="4" t="s">
        <v>15</v>
      </c>
      <c r="V75" s="5" t="s">
        <v>16</v>
      </c>
    </row>
    <row r="76" spans="1:22" x14ac:dyDescent="0.3">
      <c r="A76" s="18" t="s">
        <v>27</v>
      </c>
      <c r="B76" s="1" t="s">
        <v>25</v>
      </c>
      <c r="C76" s="1" t="s">
        <v>26</v>
      </c>
      <c r="D76" s="1" t="s">
        <v>28</v>
      </c>
      <c r="F76" s="6" t="s">
        <v>17</v>
      </c>
      <c r="G76">
        <f>3199+488+203</f>
        <v>3890</v>
      </c>
      <c r="H76">
        <v>2.4224999999999999</v>
      </c>
      <c r="I76">
        <v>1.28</v>
      </c>
      <c r="J76">
        <v>1</v>
      </c>
      <c r="K76">
        <f>G76*H76*I76*J76</f>
        <v>12062.111999999999</v>
      </c>
      <c r="L76">
        <v>200</v>
      </c>
      <c r="M76">
        <v>2.38</v>
      </c>
      <c r="N76">
        <f>1+6*L76/(L76+2000)+M76</f>
        <v>3.9254545454545453</v>
      </c>
      <c r="O76">
        <v>0</v>
      </c>
      <c r="P76">
        <v>0.85</v>
      </c>
      <c r="Q76">
        <v>2.2200000000000002</v>
      </c>
      <c r="R76">
        <f>1+P76*Q76</f>
        <v>2.887</v>
      </c>
      <c r="S76">
        <v>1.1499999999999999</v>
      </c>
      <c r="T76">
        <v>1</v>
      </c>
      <c r="U76">
        <f>(K76*N76+O76)*R76*S76*T76</f>
        <v>157201.95175918253</v>
      </c>
      <c r="V76" s="7">
        <f>SUM(U76:U88)</f>
        <v>2407257.1260103905</v>
      </c>
    </row>
    <row r="77" spans="1:22" x14ac:dyDescent="0.3">
      <c r="A77" s="18"/>
      <c r="B77" s="1">
        <f>B79+B81+B83</f>
        <v>3663593.22343416</v>
      </c>
      <c r="C77" s="1">
        <f>B77/D77</f>
        <v>183179.66117170799</v>
      </c>
      <c r="D77" s="1">
        <v>20</v>
      </c>
      <c r="F77" s="6" t="s">
        <v>17</v>
      </c>
      <c r="G77">
        <f t="shared" ref="G77:G84" si="42">3199+488+203</f>
        <v>3890</v>
      </c>
      <c r="H77">
        <v>2.4224999999999999</v>
      </c>
      <c r="I77">
        <v>1.28</v>
      </c>
      <c r="J77">
        <v>1</v>
      </c>
      <c r="K77">
        <f t="shared" ref="K77:K84" si="43">G77*H77*I77*J77</f>
        <v>12062.111999999999</v>
      </c>
      <c r="L77">
        <v>200</v>
      </c>
      <c r="M77">
        <v>2.38</v>
      </c>
      <c r="N77">
        <f t="shared" ref="N77:N88" si="44">1+6*L77/(L77+2000)+M77</f>
        <v>3.9254545454545453</v>
      </c>
      <c r="O77">
        <v>0</v>
      </c>
      <c r="P77">
        <v>0.85</v>
      </c>
      <c r="Q77">
        <v>2.2200000000000002</v>
      </c>
      <c r="R77">
        <f t="shared" ref="R77:R88" si="45">1+P77*Q77</f>
        <v>2.887</v>
      </c>
      <c r="S77">
        <v>1.1499999999999999</v>
      </c>
      <c r="T77">
        <v>1</v>
      </c>
      <c r="U77">
        <f t="shared" ref="U77:U88" si="46">(K77*N77+O77)*R77*S77*T77</f>
        <v>157201.95175918253</v>
      </c>
      <c r="V77" s="7"/>
    </row>
    <row r="78" spans="1:22" x14ac:dyDescent="0.3">
      <c r="A78" s="18"/>
      <c r="B78" s="1" t="s">
        <v>29</v>
      </c>
      <c r="C78" s="1" t="s">
        <v>30</v>
      </c>
      <c r="D78" s="1"/>
      <c r="F78" s="6" t="s">
        <v>17</v>
      </c>
      <c r="G78">
        <f t="shared" si="42"/>
        <v>3890</v>
      </c>
      <c r="H78">
        <v>2.4224999999999999</v>
      </c>
      <c r="I78">
        <v>1.28</v>
      </c>
      <c r="J78">
        <v>1</v>
      </c>
      <c r="K78">
        <f t="shared" si="43"/>
        <v>12062.111999999999</v>
      </c>
      <c r="L78">
        <v>200</v>
      </c>
      <c r="M78">
        <v>2.38</v>
      </c>
      <c r="N78">
        <f t="shared" si="44"/>
        <v>3.9254545454545453</v>
      </c>
      <c r="O78">
        <v>0</v>
      </c>
      <c r="P78">
        <v>0.85</v>
      </c>
      <c r="Q78">
        <v>2.2200000000000002</v>
      </c>
      <c r="R78">
        <f t="shared" si="45"/>
        <v>2.887</v>
      </c>
      <c r="S78">
        <v>1.1499999999999999</v>
      </c>
      <c r="T78">
        <v>1</v>
      </c>
      <c r="U78">
        <f t="shared" si="46"/>
        <v>157201.95175918253</v>
      </c>
      <c r="V78" s="7"/>
    </row>
    <row r="79" spans="1:22" x14ac:dyDescent="0.3">
      <c r="A79" s="18"/>
      <c r="B79" s="1">
        <f>V76+T92</f>
        <v>2753912.8237982807</v>
      </c>
      <c r="C79" s="2">
        <f>B79/B77</f>
        <v>0.75169721523199895</v>
      </c>
      <c r="D79" s="1"/>
      <c r="F79" s="6" t="s">
        <v>19</v>
      </c>
      <c r="G79">
        <f t="shared" si="42"/>
        <v>3890</v>
      </c>
      <c r="H79">
        <v>0.58320000000000005</v>
      </c>
      <c r="I79">
        <v>1.28</v>
      </c>
      <c r="J79">
        <v>4</v>
      </c>
      <c r="K79">
        <f t="shared" si="43"/>
        <v>11615.477760000002</v>
      </c>
      <c r="L79">
        <v>200</v>
      </c>
      <c r="M79">
        <v>2.38</v>
      </c>
      <c r="N79">
        <f t="shared" si="44"/>
        <v>3.9254545454545453</v>
      </c>
      <c r="O79">
        <v>0</v>
      </c>
      <c r="P79">
        <v>0.85</v>
      </c>
      <c r="Q79">
        <v>2.2200000000000002</v>
      </c>
      <c r="R79">
        <f t="shared" si="45"/>
        <v>2.887</v>
      </c>
      <c r="S79">
        <v>1.1499999999999999</v>
      </c>
      <c r="T79">
        <v>1</v>
      </c>
      <c r="U79">
        <f t="shared" si="46"/>
        <v>151381.0993039509</v>
      </c>
      <c r="V79" s="7"/>
    </row>
    <row r="80" spans="1:22" x14ac:dyDescent="0.3">
      <c r="A80" s="18"/>
      <c r="B80" s="1" t="s">
        <v>31</v>
      </c>
      <c r="C80" s="2" t="s">
        <v>30</v>
      </c>
      <c r="D80" s="1"/>
      <c r="F80" s="6" t="s">
        <v>20</v>
      </c>
      <c r="G80">
        <f t="shared" si="42"/>
        <v>3890</v>
      </c>
      <c r="H80">
        <v>5.9543999999999997</v>
      </c>
      <c r="I80">
        <v>1.28</v>
      </c>
      <c r="J80">
        <v>2</v>
      </c>
      <c r="K80">
        <f t="shared" si="43"/>
        <v>59296.29696</v>
      </c>
      <c r="L80">
        <v>200</v>
      </c>
      <c r="M80">
        <v>2.38</v>
      </c>
      <c r="N80">
        <f t="shared" si="44"/>
        <v>3.9254545454545453</v>
      </c>
      <c r="O80">
        <v>0</v>
      </c>
      <c r="P80">
        <v>0.85</v>
      </c>
      <c r="Q80">
        <v>2.2200000000000002</v>
      </c>
      <c r="R80">
        <f t="shared" si="45"/>
        <v>2.887</v>
      </c>
      <c r="S80">
        <v>1.1499999999999999</v>
      </c>
      <c r="T80">
        <v>1</v>
      </c>
      <c r="U80">
        <f t="shared" si="46"/>
        <v>772791.16743436654</v>
      </c>
      <c r="V80" s="7"/>
    </row>
    <row r="81" spans="1:22" x14ac:dyDescent="0.3">
      <c r="A81" s="18"/>
      <c r="B81" s="1">
        <f>V102+T115</f>
        <v>718765.09075955674</v>
      </c>
      <c r="C81" s="2">
        <f>B81/B77</f>
        <v>0.19619129278927</v>
      </c>
      <c r="D81" s="1"/>
      <c r="F81" s="6" t="s">
        <v>17</v>
      </c>
      <c r="G81">
        <f t="shared" si="42"/>
        <v>3890</v>
      </c>
      <c r="H81">
        <v>2.4224999999999999</v>
      </c>
      <c r="I81">
        <v>1.28</v>
      </c>
      <c r="J81">
        <v>1</v>
      </c>
      <c r="K81">
        <f t="shared" si="43"/>
        <v>12062.111999999999</v>
      </c>
      <c r="L81">
        <v>200</v>
      </c>
      <c r="M81">
        <v>2.38</v>
      </c>
      <c r="N81">
        <f t="shared" si="44"/>
        <v>3.9254545454545453</v>
      </c>
      <c r="O81">
        <v>0</v>
      </c>
      <c r="P81">
        <v>0.85</v>
      </c>
      <c r="Q81">
        <v>2.2200000000000002</v>
      </c>
      <c r="R81">
        <f t="shared" si="45"/>
        <v>2.887</v>
      </c>
      <c r="S81">
        <v>1.1499999999999999</v>
      </c>
      <c r="T81">
        <v>1</v>
      </c>
      <c r="U81">
        <f t="shared" si="46"/>
        <v>157201.95175918253</v>
      </c>
      <c r="V81" s="7"/>
    </row>
    <row r="82" spans="1:22" x14ac:dyDescent="0.3">
      <c r="A82" s="18"/>
      <c r="B82" s="1" t="s">
        <v>50</v>
      </c>
      <c r="C82" s="2" t="s">
        <v>30</v>
      </c>
      <c r="D82" s="1"/>
      <c r="F82" s="6" t="s">
        <v>17</v>
      </c>
      <c r="G82">
        <f t="shared" si="42"/>
        <v>3890</v>
      </c>
      <c r="H82">
        <v>2.4224999999999999</v>
      </c>
      <c r="I82">
        <v>1.28</v>
      </c>
      <c r="J82">
        <v>1</v>
      </c>
      <c r="K82">
        <f t="shared" si="43"/>
        <v>12062.111999999999</v>
      </c>
      <c r="L82">
        <v>200</v>
      </c>
      <c r="M82">
        <v>2.38</v>
      </c>
      <c r="N82">
        <f t="shared" si="44"/>
        <v>3.9254545454545453</v>
      </c>
      <c r="O82">
        <v>0</v>
      </c>
      <c r="P82">
        <v>0.85</v>
      </c>
      <c r="Q82">
        <v>2.2200000000000002</v>
      </c>
      <c r="R82">
        <f t="shared" si="45"/>
        <v>2.887</v>
      </c>
      <c r="S82">
        <v>1.1499999999999999</v>
      </c>
      <c r="T82">
        <v>1</v>
      </c>
      <c r="U82">
        <f t="shared" si="46"/>
        <v>157201.95175918253</v>
      </c>
      <c r="V82" s="7"/>
    </row>
    <row r="83" spans="1:22" x14ac:dyDescent="0.3">
      <c r="A83" s="18"/>
      <c r="B83" s="1">
        <f>U120+U126+U132+U138</f>
        <v>190915.3088763227</v>
      </c>
      <c r="C83" s="2">
        <f>B83/B77</f>
        <v>5.2111491978731057E-2</v>
      </c>
      <c r="D83" s="1"/>
      <c r="F83" s="6" t="s">
        <v>17</v>
      </c>
      <c r="G83">
        <f t="shared" si="42"/>
        <v>3890</v>
      </c>
      <c r="H83">
        <v>2.4224999999999999</v>
      </c>
      <c r="I83">
        <v>1.28</v>
      </c>
      <c r="J83">
        <v>1</v>
      </c>
      <c r="K83">
        <f t="shared" si="43"/>
        <v>12062.111999999999</v>
      </c>
      <c r="L83">
        <v>200</v>
      </c>
      <c r="M83">
        <v>2.38</v>
      </c>
      <c r="N83">
        <f t="shared" si="44"/>
        <v>3.9254545454545453</v>
      </c>
      <c r="O83">
        <v>0</v>
      </c>
      <c r="P83">
        <v>0.85</v>
      </c>
      <c r="Q83">
        <v>2.2200000000000002</v>
      </c>
      <c r="R83">
        <f t="shared" si="45"/>
        <v>2.887</v>
      </c>
      <c r="S83">
        <v>1.1499999999999999</v>
      </c>
      <c r="T83">
        <v>1</v>
      </c>
      <c r="U83">
        <f t="shared" si="46"/>
        <v>157201.95175918253</v>
      </c>
      <c r="V83" s="7"/>
    </row>
    <row r="84" spans="1:22" x14ac:dyDescent="0.3">
      <c r="A84" s="6"/>
      <c r="F84" s="6" t="s">
        <v>19</v>
      </c>
      <c r="G84">
        <f t="shared" si="42"/>
        <v>3890</v>
      </c>
      <c r="H84">
        <v>0.58320000000000005</v>
      </c>
      <c r="I84">
        <v>1.28</v>
      </c>
      <c r="J84">
        <v>4</v>
      </c>
      <c r="K84">
        <f t="shared" si="43"/>
        <v>11615.477760000002</v>
      </c>
      <c r="L84">
        <v>200</v>
      </c>
      <c r="M84">
        <v>2.38</v>
      </c>
      <c r="N84">
        <f t="shared" si="44"/>
        <v>3.9254545454545453</v>
      </c>
      <c r="O84">
        <v>0</v>
      </c>
      <c r="P84">
        <v>0.85</v>
      </c>
      <c r="Q84">
        <v>2.2200000000000002</v>
      </c>
      <c r="R84">
        <f t="shared" si="45"/>
        <v>2.887</v>
      </c>
      <c r="S84">
        <v>1.1499999999999999</v>
      </c>
      <c r="T84">
        <v>1</v>
      </c>
      <c r="U84">
        <f t="shared" si="46"/>
        <v>151381.0993039509</v>
      </c>
      <c r="V84" s="7"/>
    </row>
    <row r="85" spans="1:22" x14ac:dyDescent="0.3">
      <c r="A85" s="6"/>
      <c r="F85" s="6" t="s">
        <v>17</v>
      </c>
      <c r="G85">
        <f>3199+203</f>
        <v>3402</v>
      </c>
      <c r="H85">
        <v>2.4224999999999999</v>
      </c>
      <c r="I85">
        <v>1.28</v>
      </c>
      <c r="J85">
        <v>1</v>
      </c>
      <c r="K85">
        <f>G85*H85*I85*J85</f>
        <v>10548.9216</v>
      </c>
      <c r="L85">
        <v>200</v>
      </c>
      <c r="M85">
        <v>2.38</v>
      </c>
      <c r="N85">
        <f t="shared" si="44"/>
        <v>3.9254545454545453</v>
      </c>
      <c r="O85">
        <v>0</v>
      </c>
      <c r="P85">
        <v>0.85</v>
      </c>
      <c r="Q85">
        <v>2.2200000000000002</v>
      </c>
      <c r="R85">
        <f t="shared" si="45"/>
        <v>2.887</v>
      </c>
      <c r="S85">
        <v>0.9</v>
      </c>
      <c r="T85">
        <v>1</v>
      </c>
      <c r="U85">
        <f t="shared" si="46"/>
        <v>107593.81600453003</v>
      </c>
      <c r="V85" s="7"/>
    </row>
    <row r="86" spans="1:22" x14ac:dyDescent="0.3">
      <c r="A86" s="6"/>
      <c r="F86" s="6" t="s">
        <v>17</v>
      </c>
      <c r="G86">
        <f>3199+203</f>
        <v>3402</v>
      </c>
      <c r="H86">
        <v>2.4224999999999999</v>
      </c>
      <c r="I86">
        <v>1.28</v>
      </c>
      <c r="J86">
        <v>1</v>
      </c>
      <c r="K86">
        <f t="shared" ref="K86:K88" si="47">G86*H86*I86*J86</f>
        <v>10548.9216</v>
      </c>
      <c r="L86">
        <v>200</v>
      </c>
      <c r="M86">
        <v>2.38</v>
      </c>
      <c r="N86">
        <f t="shared" si="44"/>
        <v>3.9254545454545453</v>
      </c>
      <c r="O86">
        <v>0</v>
      </c>
      <c r="P86">
        <v>0.85</v>
      </c>
      <c r="Q86">
        <v>2.2200000000000002</v>
      </c>
      <c r="R86">
        <f t="shared" si="45"/>
        <v>2.887</v>
      </c>
      <c r="S86">
        <v>0.9</v>
      </c>
      <c r="T86">
        <v>1</v>
      </c>
      <c r="U86">
        <f t="shared" si="46"/>
        <v>107593.81600453003</v>
      </c>
      <c r="V86" s="7"/>
    </row>
    <row r="87" spans="1:22" x14ac:dyDescent="0.3">
      <c r="A87" s="6"/>
      <c r="F87" s="6" t="s">
        <v>17</v>
      </c>
      <c r="G87">
        <f>3199</f>
        <v>3199</v>
      </c>
      <c r="H87">
        <v>2.4224999999999999</v>
      </c>
      <c r="I87">
        <v>1.28</v>
      </c>
      <c r="J87">
        <v>1</v>
      </c>
      <c r="K87">
        <f t="shared" si="47"/>
        <v>9919.4591999999993</v>
      </c>
      <c r="L87">
        <v>200</v>
      </c>
      <c r="M87">
        <v>1.88</v>
      </c>
      <c r="N87">
        <f t="shared" si="44"/>
        <v>3.4254545454545453</v>
      </c>
      <c r="O87">
        <v>0</v>
      </c>
      <c r="P87">
        <v>0.85</v>
      </c>
      <c r="Q87">
        <v>2.2200000000000002</v>
      </c>
      <c r="R87">
        <f t="shared" si="45"/>
        <v>2.887</v>
      </c>
      <c r="S87">
        <v>0.9</v>
      </c>
      <c r="T87">
        <v>1</v>
      </c>
      <c r="U87">
        <f t="shared" si="46"/>
        <v>88286.743457007688</v>
      </c>
      <c r="V87" s="7"/>
    </row>
    <row r="88" spans="1:22" x14ac:dyDescent="0.3">
      <c r="A88" s="6"/>
      <c r="F88" s="6" t="s">
        <v>19</v>
      </c>
      <c r="G88">
        <f>3199</f>
        <v>3199</v>
      </c>
      <c r="H88">
        <v>0.58320000000000005</v>
      </c>
      <c r="I88">
        <v>1.28</v>
      </c>
      <c r="J88">
        <v>4</v>
      </c>
      <c r="K88">
        <f t="shared" si="47"/>
        <v>9552.1628160000018</v>
      </c>
      <c r="L88">
        <v>200</v>
      </c>
      <c r="M88">
        <v>1.88</v>
      </c>
      <c r="N88">
        <f t="shared" si="44"/>
        <v>3.4254545454545453</v>
      </c>
      <c r="O88">
        <v>0</v>
      </c>
      <c r="P88">
        <v>0.85</v>
      </c>
      <c r="Q88">
        <v>2.2200000000000002</v>
      </c>
      <c r="R88">
        <f t="shared" si="45"/>
        <v>2.887</v>
      </c>
      <c r="S88">
        <v>0.9</v>
      </c>
      <c r="T88">
        <v>1</v>
      </c>
      <c r="U88">
        <f t="shared" si="46"/>
        <v>85017.673946958763</v>
      </c>
      <c r="V88" s="7"/>
    </row>
    <row r="89" spans="1:22" x14ac:dyDescent="0.3">
      <c r="A89" s="6"/>
      <c r="F89" s="6"/>
      <c r="V89" s="7"/>
    </row>
    <row r="90" spans="1:22" x14ac:dyDescent="0.3">
      <c r="A90" s="6"/>
      <c r="F90" s="6"/>
      <c r="V90" s="7"/>
    </row>
    <row r="91" spans="1:22" x14ac:dyDescent="0.3">
      <c r="A91" s="6"/>
      <c r="F91" s="6"/>
      <c r="G91" t="s">
        <v>1</v>
      </c>
      <c r="H91" t="s">
        <v>5</v>
      </c>
      <c r="I91" t="s">
        <v>7</v>
      </c>
      <c r="J91" t="s">
        <v>7</v>
      </c>
      <c r="K91" t="s">
        <v>8</v>
      </c>
      <c r="L91" t="s">
        <v>22</v>
      </c>
      <c r="M91" t="s">
        <v>0</v>
      </c>
      <c r="N91" t="s">
        <v>11</v>
      </c>
      <c r="O91" t="s">
        <v>12</v>
      </c>
      <c r="P91" t="s">
        <v>13</v>
      </c>
      <c r="Q91" t="s">
        <v>15</v>
      </c>
      <c r="R91" t="s">
        <v>23</v>
      </c>
      <c r="S91" t="s">
        <v>24</v>
      </c>
      <c r="T91" t="s">
        <v>16</v>
      </c>
      <c r="V91" s="7"/>
    </row>
    <row r="92" spans="1:22" x14ac:dyDescent="0.3">
      <c r="A92" s="6"/>
      <c r="F92" s="6"/>
      <c r="G92">
        <f>3199+488+203</f>
        <v>3890</v>
      </c>
      <c r="H92">
        <v>0.85</v>
      </c>
      <c r="I92">
        <v>1</v>
      </c>
      <c r="J92">
        <v>1</v>
      </c>
      <c r="K92">
        <f>G92*H92*I92*J92</f>
        <v>3306.5</v>
      </c>
      <c r="L92">
        <v>1</v>
      </c>
      <c r="M92">
        <v>0.85</v>
      </c>
      <c r="N92">
        <v>2.2200000000000002</v>
      </c>
      <c r="O92">
        <f>1+M92*N92</f>
        <v>2.887</v>
      </c>
      <c r="P92">
        <v>1.1499999999999999</v>
      </c>
      <c r="Q92">
        <f>K92*L92*O92*P92</f>
        <v>10977.745325</v>
      </c>
      <c r="R92">
        <v>9</v>
      </c>
      <c r="S92">
        <f>Q92*R92</f>
        <v>98799.707924999995</v>
      </c>
      <c r="T92">
        <f>SUM(S92:S98)</f>
        <v>346655.69778789004</v>
      </c>
      <c r="V92" s="7"/>
    </row>
    <row r="93" spans="1:22" x14ac:dyDescent="0.3">
      <c r="A93" s="6"/>
      <c r="F93" s="6"/>
      <c r="G93">
        <f t="shared" ref="G93:G96" si="48">3199+488+203</f>
        <v>3890</v>
      </c>
      <c r="H93">
        <v>0.58320000000000005</v>
      </c>
      <c r="I93">
        <v>1</v>
      </c>
      <c r="J93">
        <v>1</v>
      </c>
      <c r="K93">
        <f t="shared" ref="K93:K94" si="49">G93*H93*I93*J93</f>
        <v>2268.6480000000001</v>
      </c>
      <c r="L93">
        <v>1</v>
      </c>
      <c r="M93">
        <v>0.85</v>
      </c>
      <c r="N93">
        <v>2.2200000000000002</v>
      </c>
      <c r="O93">
        <f t="shared" ref="O93:O94" si="50">1+M93*N93</f>
        <v>2.887</v>
      </c>
      <c r="P93">
        <v>1.1499999999999999</v>
      </c>
      <c r="Q93">
        <f t="shared" ref="Q93:Q94" si="51">K93*L93*O93*P93</f>
        <v>7532.0247923999996</v>
      </c>
      <c r="R93">
        <v>1</v>
      </c>
      <c r="S93">
        <f t="shared" ref="S93:S94" si="52">Q93*R93</f>
        <v>7532.0247923999996</v>
      </c>
      <c r="V93" s="7"/>
    </row>
    <row r="94" spans="1:22" x14ac:dyDescent="0.3">
      <c r="A94" s="6"/>
      <c r="F94" s="6"/>
      <c r="G94">
        <f t="shared" si="48"/>
        <v>3890</v>
      </c>
      <c r="H94">
        <v>1.5879000000000001</v>
      </c>
      <c r="I94">
        <v>3</v>
      </c>
      <c r="J94">
        <v>1</v>
      </c>
      <c r="K94">
        <f t="shared" si="49"/>
        <v>18530.793000000001</v>
      </c>
      <c r="L94">
        <v>1</v>
      </c>
      <c r="M94">
        <v>0.85</v>
      </c>
      <c r="N94">
        <v>2.2200000000000002</v>
      </c>
      <c r="O94">
        <f t="shared" si="50"/>
        <v>2.887</v>
      </c>
      <c r="P94">
        <v>1.1499999999999999</v>
      </c>
      <c r="Q94">
        <f t="shared" si="51"/>
        <v>61523.159299650004</v>
      </c>
      <c r="R94">
        <v>1</v>
      </c>
      <c r="S94">
        <f t="shared" si="52"/>
        <v>61523.159299650004</v>
      </c>
      <c r="V94" s="7"/>
    </row>
    <row r="95" spans="1:22" x14ac:dyDescent="0.3">
      <c r="A95" s="6"/>
      <c r="F95" s="6"/>
      <c r="G95">
        <f>3199+488+203</f>
        <v>3890</v>
      </c>
      <c r="H95">
        <v>0.85</v>
      </c>
      <c r="I95">
        <v>1</v>
      </c>
      <c r="J95">
        <v>1</v>
      </c>
      <c r="K95">
        <f>G95*H95*I95*J95</f>
        <v>3306.5</v>
      </c>
      <c r="L95">
        <v>1</v>
      </c>
      <c r="M95">
        <v>0.85</v>
      </c>
      <c r="N95">
        <v>2.2200000000000002</v>
      </c>
      <c r="O95">
        <f>1+M95*N95</f>
        <v>2.887</v>
      </c>
      <c r="P95">
        <v>1.1499999999999999</v>
      </c>
      <c r="Q95">
        <f>K95*L95*O95*P95</f>
        <v>10977.745325</v>
      </c>
      <c r="R95">
        <v>9</v>
      </c>
      <c r="S95">
        <f>Q95*R95</f>
        <v>98799.707924999995</v>
      </c>
      <c r="V95" s="7"/>
    </row>
    <row r="96" spans="1:22" x14ac:dyDescent="0.3">
      <c r="A96" s="6"/>
      <c r="F96" s="6"/>
      <c r="G96">
        <f t="shared" si="48"/>
        <v>3890</v>
      </c>
      <c r="H96">
        <v>0.58320000000000005</v>
      </c>
      <c r="I96">
        <v>1</v>
      </c>
      <c r="J96">
        <v>1</v>
      </c>
      <c r="K96">
        <f t="shared" ref="K96" si="53">G96*H96*I96*J96</f>
        <v>2268.6480000000001</v>
      </c>
      <c r="L96">
        <v>1</v>
      </c>
      <c r="M96">
        <v>0.85</v>
      </c>
      <c r="N96">
        <v>2.2200000000000002</v>
      </c>
      <c r="O96">
        <f t="shared" ref="O96" si="54">1+M96*N96</f>
        <v>2.887</v>
      </c>
      <c r="P96">
        <v>1.1499999999999999</v>
      </c>
      <c r="Q96">
        <f t="shared" ref="Q96" si="55">K96*L96*O96*P96</f>
        <v>7532.0247923999996</v>
      </c>
      <c r="R96">
        <v>1</v>
      </c>
      <c r="S96">
        <f t="shared" ref="S96" si="56">Q96*R96</f>
        <v>7532.0247923999996</v>
      </c>
      <c r="V96" s="7"/>
    </row>
    <row r="97" spans="1:22" x14ac:dyDescent="0.3">
      <c r="A97" s="6"/>
      <c r="F97" s="6"/>
      <c r="G97">
        <f>$G86</f>
        <v>3402</v>
      </c>
      <c r="H97">
        <v>0.85</v>
      </c>
      <c r="I97">
        <v>1</v>
      </c>
      <c r="J97">
        <v>1</v>
      </c>
      <c r="K97">
        <f>G97*H97*I97*J97</f>
        <v>2891.7</v>
      </c>
      <c r="L97">
        <v>1</v>
      </c>
      <c r="M97">
        <v>0.85</v>
      </c>
      <c r="N97">
        <v>2.2200000000000002</v>
      </c>
      <c r="O97">
        <f>1+M97*N97</f>
        <v>2.887</v>
      </c>
      <c r="P97">
        <v>0.9</v>
      </c>
      <c r="Q97">
        <f>K97*L97*O97*P97</f>
        <v>7513.5041099999989</v>
      </c>
      <c r="R97">
        <v>9</v>
      </c>
      <c r="S97">
        <f>Q97*R97</f>
        <v>67621.536989999993</v>
      </c>
      <c r="V97" s="7"/>
    </row>
    <row r="98" spans="1:22" ht="14.5" thickBot="1" x14ac:dyDescent="0.35">
      <c r="A98" s="6"/>
      <c r="F98" s="8"/>
      <c r="G98" s="9">
        <f>$G88</f>
        <v>3199</v>
      </c>
      <c r="H98" s="9">
        <v>0.58320000000000005</v>
      </c>
      <c r="I98" s="9">
        <v>1</v>
      </c>
      <c r="J98" s="9">
        <v>1</v>
      </c>
      <c r="K98" s="9">
        <f t="shared" ref="K98" si="57">G98*H98*I98*J98</f>
        <v>1865.6568000000002</v>
      </c>
      <c r="L98" s="9">
        <v>1</v>
      </c>
      <c r="M98" s="9">
        <v>0.85</v>
      </c>
      <c r="N98" s="9">
        <v>2.2200000000000002</v>
      </c>
      <c r="O98" s="9">
        <f t="shared" ref="O98" si="58">1+M98*N98</f>
        <v>2.887</v>
      </c>
      <c r="P98" s="9">
        <v>0.9</v>
      </c>
      <c r="Q98" s="9">
        <f t="shared" ref="Q98" si="59">K98*L98*O98*P98</f>
        <v>4847.5360634400004</v>
      </c>
      <c r="R98" s="9">
        <v>1</v>
      </c>
      <c r="S98" s="9">
        <f t="shared" ref="S98" si="60">Q98*R98</f>
        <v>4847.5360634400004</v>
      </c>
      <c r="T98" s="9"/>
      <c r="U98" s="9"/>
      <c r="V98" s="10"/>
    </row>
    <row r="99" spans="1:22" ht="14.5" thickBot="1" x14ac:dyDescent="0.35">
      <c r="A99" s="6"/>
      <c r="V99" s="7"/>
    </row>
    <row r="100" spans="1:22" x14ac:dyDescent="0.3">
      <c r="A100" s="6"/>
      <c r="F100" s="19" t="s">
        <v>3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1"/>
    </row>
    <row r="101" spans="1:22" x14ac:dyDescent="0.3">
      <c r="A101" s="6"/>
      <c r="F101" s="6" t="s">
        <v>4</v>
      </c>
      <c r="G101" t="s">
        <v>1</v>
      </c>
      <c r="H101" t="s">
        <v>5</v>
      </c>
      <c r="I101" t="s">
        <v>6</v>
      </c>
      <c r="J101" t="s">
        <v>7</v>
      </c>
      <c r="K101" t="s">
        <v>8</v>
      </c>
      <c r="L101" t="s">
        <v>2</v>
      </c>
      <c r="M101" t="s">
        <v>18</v>
      </c>
      <c r="N101" t="s">
        <v>9</v>
      </c>
      <c r="O101" t="s">
        <v>10</v>
      </c>
      <c r="P101" t="s">
        <v>0</v>
      </c>
      <c r="Q101" t="s">
        <v>11</v>
      </c>
      <c r="R101" t="s">
        <v>12</v>
      </c>
      <c r="S101" t="s">
        <v>13</v>
      </c>
      <c r="T101" t="s">
        <v>14</v>
      </c>
      <c r="U101" t="s">
        <v>15</v>
      </c>
      <c r="V101" s="7" t="s">
        <v>16</v>
      </c>
    </row>
    <row r="102" spans="1:22" x14ac:dyDescent="0.3">
      <c r="A102" s="6"/>
      <c r="F102" s="6" t="s">
        <v>32</v>
      </c>
      <c r="G102">
        <v>2604</v>
      </c>
      <c r="H102">
        <v>8.2554999999999996</v>
      </c>
      <c r="I102">
        <v>1.28</v>
      </c>
      <c r="J102">
        <f>16*0.015+1</f>
        <v>1.24</v>
      </c>
      <c r="K102">
        <f>G102*H102*I102*J102</f>
        <v>34120.549478399997</v>
      </c>
      <c r="L102">
        <v>20</v>
      </c>
      <c r="M102">
        <v>1.4</v>
      </c>
      <c r="N102">
        <f>1+6*L102/(L102+2000)+M102</f>
        <v>2.4594059405940594</v>
      </c>
      <c r="O102">
        <v>0</v>
      </c>
      <c r="P102">
        <v>0.93</v>
      </c>
      <c r="Q102">
        <v>2.2999999999999998</v>
      </c>
      <c r="R102">
        <f>1+P102*Q102</f>
        <v>3.1389999999999998</v>
      </c>
      <c r="S102">
        <v>0.9</v>
      </c>
      <c r="T102">
        <v>1</v>
      </c>
      <c r="U102">
        <f>(K102*N102+O102)*R102*S102*T102</f>
        <v>237071.88851412546</v>
      </c>
      <c r="V102" s="7">
        <f>SUM(U102:U112)</f>
        <v>581946.45744602673</v>
      </c>
    </row>
    <row r="103" spans="1:22" x14ac:dyDescent="0.3">
      <c r="A103" s="6"/>
      <c r="F103" s="6"/>
      <c r="G103">
        <v>2604</v>
      </c>
      <c r="H103">
        <v>4.5</v>
      </c>
      <c r="I103">
        <v>1.28</v>
      </c>
      <c r="J103">
        <f>16*0.015+1</f>
        <v>1.24</v>
      </c>
      <c r="K103">
        <f>G103*H103*I103*J103</f>
        <v>18598.809600000001</v>
      </c>
      <c r="L103">
        <v>20</v>
      </c>
      <c r="M103">
        <v>1.4</v>
      </c>
      <c r="N103">
        <f>1+6*L103/(L103+2000)+M103</f>
        <v>2.4594059405940594</v>
      </c>
      <c r="O103">
        <v>0</v>
      </c>
      <c r="P103">
        <v>0.93</v>
      </c>
      <c r="Q103">
        <v>2.2999999999999998</v>
      </c>
      <c r="R103">
        <f>1+P103*Q103</f>
        <v>3.1389999999999998</v>
      </c>
      <c r="S103">
        <v>0.9</v>
      </c>
      <c r="T103">
        <v>1</v>
      </c>
      <c r="U103">
        <f t="shared" ref="U103:U106" si="61">(K103*N103+O103)*R103*S103*T103</f>
        <v>129225.78866374717</v>
      </c>
      <c r="V103" s="7"/>
    </row>
    <row r="104" spans="1:22" x14ac:dyDescent="0.3">
      <c r="A104" s="6"/>
      <c r="F104" s="6" t="s">
        <v>33</v>
      </c>
      <c r="G104">
        <f>189+2604</f>
        <v>2793</v>
      </c>
      <c r="H104">
        <v>0.72950000000000004</v>
      </c>
      <c r="I104">
        <v>1.28</v>
      </c>
      <c r="J104">
        <f>17*0.015+1</f>
        <v>1.2549999999999999</v>
      </c>
      <c r="K104">
        <f t="shared" ref="K104:K112" si="62">G104*H104*I104*J104</f>
        <v>3273.0295584</v>
      </c>
      <c r="L104">
        <v>20</v>
      </c>
      <c r="M104">
        <v>1.6</v>
      </c>
      <c r="N104">
        <f t="shared" ref="N104:N112" si="63">1+6*L104/(L104+2000)+M104</f>
        <v>2.6594059405940595</v>
      </c>
      <c r="O104">
        <v>0</v>
      </c>
      <c r="P104">
        <v>0.93</v>
      </c>
      <c r="Q104">
        <v>2.2999999999999998</v>
      </c>
      <c r="R104">
        <f t="shared" ref="R104:R112" si="64">1+P104*Q104</f>
        <v>3.1389999999999998</v>
      </c>
      <c r="S104">
        <v>0.9</v>
      </c>
      <c r="T104">
        <v>1</v>
      </c>
      <c r="U104">
        <f t="shared" si="61"/>
        <v>24590.558191485808</v>
      </c>
      <c r="V104" s="7"/>
    </row>
    <row r="105" spans="1:22" x14ac:dyDescent="0.3">
      <c r="A105" s="6"/>
      <c r="F105" s="6" t="s">
        <v>34</v>
      </c>
      <c r="G105">
        <f t="shared" ref="G105:G111" si="65">189+2604</f>
        <v>2793</v>
      </c>
      <c r="H105">
        <v>0.87239999999999995</v>
      </c>
      <c r="I105">
        <v>1.28</v>
      </c>
      <c r="J105">
        <f t="shared" ref="J105:J111" si="66">17*0.015+1</f>
        <v>1.2549999999999999</v>
      </c>
      <c r="K105">
        <f t="shared" si="62"/>
        <v>3914.175444479999</v>
      </c>
      <c r="L105">
        <v>20</v>
      </c>
      <c r="M105">
        <v>1</v>
      </c>
      <c r="N105">
        <f t="shared" si="63"/>
        <v>2.0594059405940595</v>
      </c>
      <c r="O105">
        <v>0</v>
      </c>
      <c r="P105">
        <v>0.93</v>
      </c>
      <c r="Q105">
        <v>2.2999999999999998</v>
      </c>
      <c r="R105">
        <f t="shared" si="64"/>
        <v>3.1389999999999998</v>
      </c>
      <c r="S105">
        <v>1.1499999999999999</v>
      </c>
      <c r="T105">
        <v>1</v>
      </c>
      <c r="U105">
        <f t="shared" si="61"/>
        <v>29098.553816606665</v>
      </c>
      <c r="V105" s="7"/>
    </row>
    <row r="106" spans="1:22" x14ac:dyDescent="0.3">
      <c r="A106" s="6"/>
      <c r="F106" s="6" t="s">
        <v>35</v>
      </c>
      <c r="G106">
        <f t="shared" si="65"/>
        <v>2793</v>
      </c>
      <c r="H106">
        <v>0.72950000000000004</v>
      </c>
      <c r="I106">
        <v>1.28</v>
      </c>
      <c r="J106">
        <f t="shared" si="66"/>
        <v>1.2549999999999999</v>
      </c>
      <c r="K106">
        <f t="shared" si="62"/>
        <v>3273.0295584</v>
      </c>
      <c r="L106">
        <v>20</v>
      </c>
      <c r="M106">
        <v>1</v>
      </c>
      <c r="N106">
        <f t="shared" si="63"/>
        <v>2.0594059405940595</v>
      </c>
      <c r="O106">
        <v>0</v>
      </c>
      <c r="P106">
        <v>0.93</v>
      </c>
      <c r="Q106">
        <v>2.2999999999999998</v>
      </c>
      <c r="R106">
        <f t="shared" si="64"/>
        <v>3.1389999999999998</v>
      </c>
      <c r="S106">
        <v>1.1499999999999999</v>
      </c>
      <c r="T106">
        <v>1</v>
      </c>
      <c r="U106">
        <f t="shared" si="61"/>
        <v>24332.181349397721</v>
      </c>
      <c r="V106" s="7"/>
    </row>
    <row r="107" spans="1:22" x14ac:dyDescent="0.3">
      <c r="A107" s="6"/>
      <c r="F107" s="6" t="s">
        <v>36</v>
      </c>
      <c r="G107">
        <f t="shared" si="65"/>
        <v>2793</v>
      </c>
      <c r="H107">
        <v>0.87239999999999995</v>
      </c>
      <c r="I107">
        <v>1.28</v>
      </c>
      <c r="J107">
        <f t="shared" si="66"/>
        <v>1.2549999999999999</v>
      </c>
      <c r="K107">
        <f t="shared" si="62"/>
        <v>3914.175444479999</v>
      </c>
      <c r="L107">
        <v>20</v>
      </c>
      <c r="M107">
        <v>1</v>
      </c>
      <c r="N107">
        <f t="shared" si="63"/>
        <v>2.0594059405940595</v>
      </c>
      <c r="O107">
        <v>0</v>
      </c>
      <c r="P107">
        <v>0.93</v>
      </c>
      <c r="Q107">
        <v>2.2999999999999998</v>
      </c>
      <c r="R107">
        <f t="shared" si="64"/>
        <v>3.1389999999999998</v>
      </c>
      <c r="S107">
        <v>1.1499999999999999</v>
      </c>
      <c r="T107">
        <v>1</v>
      </c>
      <c r="U107">
        <f t="shared" ref="U107:U112" si="67">(K107*N107+O107)*R107*S107*T107</f>
        <v>29098.553816606665</v>
      </c>
      <c r="V107" s="7"/>
    </row>
    <row r="108" spans="1:22" x14ac:dyDescent="0.3">
      <c r="A108" s="6"/>
      <c r="F108" s="6" t="s">
        <v>37</v>
      </c>
      <c r="G108">
        <f t="shared" si="65"/>
        <v>2793</v>
      </c>
      <c r="H108">
        <v>0.72950000000000004</v>
      </c>
      <c r="I108">
        <v>1.28</v>
      </c>
      <c r="J108">
        <f t="shared" si="66"/>
        <v>1.2549999999999999</v>
      </c>
      <c r="K108">
        <f t="shared" si="62"/>
        <v>3273.0295584</v>
      </c>
      <c r="L108">
        <v>20</v>
      </c>
      <c r="M108">
        <v>1</v>
      </c>
      <c r="N108">
        <f t="shared" si="63"/>
        <v>2.0594059405940595</v>
      </c>
      <c r="O108">
        <v>0</v>
      </c>
      <c r="P108">
        <v>0.93</v>
      </c>
      <c r="Q108">
        <v>2.2999999999999998</v>
      </c>
      <c r="R108">
        <f t="shared" si="64"/>
        <v>3.1389999999999998</v>
      </c>
      <c r="S108">
        <v>1.1499999999999999</v>
      </c>
      <c r="T108">
        <v>1</v>
      </c>
      <c r="U108">
        <f t="shared" si="67"/>
        <v>24332.181349397721</v>
      </c>
      <c r="V108" s="7"/>
    </row>
    <row r="109" spans="1:22" x14ac:dyDescent="0.3">
      <c r="A109" s="6"/>
      <c r="F109" s="6" t="s">
        <v>38</v>
      </c>
      <c r="G109">
        <f t="shared" si="65"/>
        <v>2793</v>
      </c>
      <c r="H109">
        <v>0.87239999999999995</v>
      </c>
      <c r="I109">
        <v>1.28</v>
      </c>
      <c r="J109">
        <f t="shared" si="66"/>
        <v>1.2549999999999999</v>
      </c>
      <c r="K109">
        <f t="shared" si="62"/>
        <v>3914.175444479999</v>
      </c>
      <c r="L109">
        <v>20</v>
      </c>
      <c r="M109">
        <v>1</v>
      </c>
      <c r="N109">
        <f t="shared" si="63"/>
        <v>2.0594059405940595</v>
      </c>
      <c r="O109">
        <v>0</v>
      </c>
      <c r="P109">
        <v>0.93</v>
      </c>
      <c r="Q109">
        <v>2.2999999999999998</v>
      </c>
      <c r="R109">
        <f t="shared" si="64"/>
        <v>3.1389999999999998</v>
      </c>
      <c r="S109">
        <v>1.1499999999999999</v>
      </c>
      <c r="T109">
        <v>1</v>
      </c>
      <c r="U109">
        <f t="shared" si="67"/>
        <v>29098.553816606665</v>
      </c>
      <c r="V109" s="7"/>
    </row>
    <row r="110" spans="1:22" x14ac:dyDescent="0.3">
      <c r="A110" s="6"/>
      <c r="F110" s="6" t="s">
        <v>39</v>
      </c>
      <c r="G110">
        <f t="shared" si="65"/>
        <v>2793</v>
      </c>
      <c r="H110">
        <v>0.72950000000000004</v>
      </c>
      <c r="I110">
        <v>1.28</v>
      </c>
      <c r="J110">
        <f t="shared" si="66"/>
        <v>1.2549999999999999</v>
      </c>
      <c r="K110">
        <f t="shared" si="62"/>
        <v>3273.0295584</v>
      </c>
      <c r="L110">
        <v>20</v>
      </c>
      <c r="M110">
        <v>1</v>
      </c>
      <c r="N110">
        <f t="shared" si="63"/>
        <v>2.0594059405940595</v>
      </c>
      <c r="O110">
        <v>0</v>
      </c>
      <c r="P110">
        <v>0.93</v>
      </c>
      <c r="Q110">
        <v>2.2999999999999998</v>
      </c>
      <c r="R110">
        <f t="shared" si="64"/>
        <v>3.1389999999999998</v>
      </c>
      <c r="S110">
        <v>0.9</v>
      </c>
      <c r="T110">
        <v>1</v>
      </c>
      <c r="U110">
        <f t="shared" si="67"/>
        <v>19042.576708224304</v>
      </c>
      <c r="V110" s="7"/>
    </row>
    <row r="111" spans="1:22" x14ac:dyDescent="0.3">
      <c r="A111" s="6"/>
      <c r="F111" s="6" t="s">
        <v>40</v>
      </c>
      <c r="G111">
        <f t="shared" si="65"/>
        <v>2793</v>
      </c>
      <c r="H111">
        <v>0.87239999999999995</v>
      </c>
      <c r="I111">
        <v>1.28</v>
      </c>
      <c r="J111">
        <f t="shared" si="66"/>
        <v>1.2549999999999999</v>
      </c>
      <c r="K111">
        <f t="shared" si="62"/>
        <v>3914.175444479999</v>
      </c>
      <c r="L111">
        <v>20</v>
      </c>
      <c r="M111">
        <v>1</v>
      </c>
      <c r="N111">
        <f t="shared" si="63"/>
        <v>2.0594059405940595</v>
      </c>
      <c r="O111">
        <v>0</v>
      </c>
      <c r="P111">
        <v>0.93</v>
      </c>
      <c r="Q111">
        <v>2.2999999999999998</v>
      </c>
      <c r="R111">
        <f t="shared" si="64"/>
        <v>3.1389999999999998</v>
      </c>
      <c r="S111">
        <v>0.9</v>
      </c>
      <c r="T111">
        <v>1</v>
      </c>
      <c r="U111">
        <f t="shared" si="67"/>
        <v>22772.781247779134</v>
      </c>
      <c r="V111" s="7"/>
    </row>
    <row r="112" spans="1:22" x14ac:dyDescent="0.3">
      <c r="A112" s="6"/>
      <c r="F112" s="6" t="s">
        <v>41</v>
      </c>
      <c r="G112">
        <v>2604</v>
      </c>
      <c r="H112">
        <v>0.72950000000000004</v>
      </c>
      <c r="I112">
        <v>1.28</v>
      </c>
      <c r="J112">
        <v>1.24</v>
      </c>
      <c r="K112">
        <f t="shared" si="62"/>
        <v>3015.0736896000003</v>
      </c>
      <c r="L112">
        <v>20</v>
      </c>
      <c r="M112">
        <v>0.5</v>
      </c>
      <c r="N112">
        <f t="shared" si="63"/>
        <v>1.5594059405940595</v>
      </c>
      <c r="O112">
        <v>0</v>
      </c>
      <c r="P112">
        <v>0.93</v>
      </c>
      <c r="Q112">
        <v>2.2999999999999998</v>
      </c>
      <c r="R112">
        <f t="shared" si="64"/>
        <v>3.1389999999999998</v>
      </c>
      <c r="S112">
        <v>0.9</v>
      </c>
      <c r="T112">
        <v>1</v>
      </c>
      <c r="U112">
        <f t="shared" si="67"/>
        <v>13282.839972049618</v>
      </c>
      <c r="V112" s="7"/>
    </row>
    <row r="113" spans="1:22" x14ac:dyDescent="0.3">
      <c r="A113" s="6"/>
      <c r="F113" s="6"/>
      <c r="V113" s="7"/>
    </row>
    <row r="114" spans="1:22" x14ac:dyDescent="0.3">
      <c r="A114" s="6"/>
      <c r="F114" s="6"/>
      <c r="G114" t="s">
        <v>1</v>
      </c>
      <c r="H114" t="s">
        <v>5</v>
      </c>
      <c r="I114" t="s">
        <v>7</v>
      </c>
      <c r="J114" t="s">
        <v>7</v>
      </c>
      <c r="K114" t="s">
        <v>8</v>
      </c>
      <c r="L114" t="s">
        <v>22</v>
      </c>
      <c r="M114" t="s">
        <v>0</v>
      </c>
      <c r="N114" t="s">
        <v>11</v>
      </c>
      <c r="O114" t="s">
        <v>12</v>
      </c>
      <c r="P114" t="s">
        <v>13</v>
      </c>
      <c r="Q114" t="s">
        <v>15</v>
      </c>
      <c r="R114" t="s">
        <v>23</v>
      </c>
      <c r="S114" t="s">
        <v>24</v>
      </c>
      <c r="T114" t="s">
        <v>16</v>
      </c>
      <c r="V114" s="7"/>
    </row>
    <row r="115" spans="1:22" x14ac:dyDescent="0.3">
      <c r="A115" s="6"/>
      <c r="F115" s="6"/>
      <c r="G115">
        <f>G102</f>
        <v>2604</v>
      </c>
      <c r="H115">
        <v>1.9454</v>
      </c>
      <c r="I115">
        <v>1</v>
      </c>
      <c r="J115">
        <v>1</v>
      </c>
      <c r="K115">
        <f>G115*H115*I115*J115</f>
        <v>5065.8216000000002</v>
      </c>
      <c r="L115">
        <v>1</v>
      </c>
      <c r="M115">
        <v>0.93</v>
      </c>
      <c r="N115">
        <v>2.2999999999999998</v>
      </c>
      <c r="O115">
        <f>1+M115*N115</f>
        <v>3.1389999999999998</v>
      </c>
      <c r="P115">
        <v>0.9</v>
      </c>
      <c r="Q115">
        <f>K115*L115*O115*P115</f>
        <v>14311.45260216</v>
      </c>
      <c r="R115">
        <v>1</v>
      </c>
      <c r="S115">
        <f>Q115*R115</f>
        <v>14311.45260216</v>
      </c>
      <c r="T115">
        <f>SUM(S115:S116)</f>
        <v>136818.63331352998</v>
      </c>
      <c r="V115" s="7"/>
    </row>
    <row r="116" spans="1:22" ht="14.5" thickBot="1" x14ac:dyDescent="0.35">
      <c r="A116" s="6"/>
      <c r="F116" s="8"/>
      <c r="G116" s="9">
        <f>G107</f>
        <v>2793</v>
      </c>
      <c r="H116" s="9">
        <v>1.7251000000000001</v>
      </c>
      <c r="I116" s="9">
        <v>1</v>
      </c>
      <c r="J116" s="9">
        <v>1</v>
      </c>
      <c r="K116" s="9">
        <f>G116*H116*I116*J116</f>
        <v>4818.2043000000003</v>
      </c>
      <c r="L116" s="9">
        <v>1</v>
      </c>
      <c r="M116" s="9">
        <v>0.93</v>
      </c>
      <c r="N116" s="9">
        <v>2.2999999999999998</v>
      </c>
      <c r="O116" s="9">
        <f>1+M116*N116</f>
        <v>3.1389999999999998</v>
      </c>
      <c r="P116" s="9">
        <v>0.9</v>
      </c>
      <c r="Q116" s="9">
        <f>K116*L116*O116*P116</f>
        <v>13611.90896793</v>
      </c>
      <c r="R116" s="9">
        <v>9</v>
      </c>
      <c r="S116" s="9">
        <f>Q116*R116</f>
        <v>122507.18071136999</v>
      </c>
      <c r="T116" s="9"/>
      <c r="U116" s="9"/>
      <c r="V116" s="10"/>
    </row>
    <row r="117" spans="1:22" x14ac:dyDescent="0.3">
      <c r="A117" s="6"/>
      <c r="V117" s="7"/>
    </row>
    <row r="118" spans="1:22" ht="14.5" thickBot="1" x14ac:dyDescent="0.35">
      <c r="A118" s="6"/>
      <c r="F118" s="22" t="s">
        <v>53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7"/>
    </row>
    <row r="119" spans="1:22" x14ac:dyDescent="0.3">
      <c r="A119" s="6"/>
      <c r="F119" s="3"/>
      <c r="G119" s="4" t="s">
        <v>42</v>
      </c>
      <c r="H119" s="4" t="s">
        <v>43</v>
      </c>
      <c r="I119" s="4" t="s">
        <v>6</v>
      </c>
      <c r="J119" s="4" t="s">
        <v>2</v>
      </c>
      <c r="K119" s="4" t="s">
        <v>18</v>
      </c>
      <c r="L119" s="4" t="s">
        <v>9</v>
      </c>
      <c r="M119" s="4" t="s">
        <v>0</v>
      </c>
      <c r="N119" s="4" t="s">
        <v>11</v>
      </c>
      <c r="O119" s="4" t="s">
        <v>12</v>
      </c>
      <c r="P119" s="4" t="s">
        <v>13</v>
      </c>
      <c r="Q119" s="4" t="s">
        <v>14</v>
      </c>
      <c r="R119" s="4" t="s">
        <v>48</v>
      </c>
      <c r="S119" s="4" t="s">
        <v>49</v>
      </c>
      <c r="T119" s="4" t="s">
        <v>51</v>
      </c>
      <c r="U119" s="5" t="s">
        <v>16</v>
      </c>
      <c r="V119" s="7"/>
    </row>
    <row r="120" spans="1:22" x14ac:dyDescent="0.3">
      <c r="A120" s="6"/>
      <c r="F120" s="6" t="s">
        <v>44</v>
      </c>
      <c r="G120">
        <v>1446.85</v>
      </c>
      <c r="H120">
        <v>2</v>
      </c>
      <c r="I120">
        <v>1.28</v>
      </c>
      <c r="J120">
        <v>200</v>
      </c>
      <c r="K120">
        <v>2.38</v>
      </c>
      <c r="L120">
        <f>1+6*J120/(J120+2000)+K120</f>
        <v>3.9254545454545453</v>
      </c>
      <c r="M120">
        <v>0.85</v>
      </c>
      <c r="N120">
        <v>2.2200000000000002</v>
      </c>
      <c r="O120">
        <f>1+M120*N120</f>
        <v>2.887</v>
      </c>
      <c r="P120">
        <v>1.1499999999999999</v>
      </c>
      <c r="Q120">
        <v>1</v>
      </c>
      <c r="R120">
        <v>0.6</v>
      </c>
      <c r="S120">
        <f>G120*H120*I120*L120*O120*P120*Q120*R120</f>
        <v>28963.383944259487</v>
      </c>
      <c r="T120">
        <v>2</v>
      </c>
      <c r="U120" s="7">
        <f>T122*T120</f>
        <v>72992.674442416799</v>
      </c>
      <c r="V120" s="7"/>
    </row>
    <row r="121" spans="1:22" x14ac:dyDescent="0.3">
      <c r="A121" s="6"/>
      <c r="F121" s="6" t="s">
        <v>45</v>
      </c>
      <c r="G121">
        <v>1446.85</v>
      </c>
      <c r="H121">
        <v>2</v>
      </c>
      <c r="I121">
        <v>1.28</v>
      </c>
      <c r="J121">
        <v>0</v>
      </c>
      <c r="K121">
        <v>1.9</v>
      </c>
      <c r="L121">
        <f t="shared" ref="L121:L123" si="68">1+6*J121/(J121+2000)+K121</f>
        <v>2.9</v>
      </c>
      <c r="M121">
        <v>0.5</v>
      </c>
      <c r="N121">
        <v>1.5</v>
      </c>
      <c r="O121">
        <f t="shared" ref="O121:O123" si="69">1+M121*N121</f>
        <v>1.75</v>
      </c>
      <c r="P121">
        <v>0.9</v>
      </c>
      <c r="Q121">
        <v>1</v>
      </c>
      <c r="R121">
        <v>0.3</v>
      </c>
      <c r="S121">
        <f t="shared" ref="S121:S123" si="70">G121*H121*I121*L121*O121*P121*Q121*R121</f>
        <v>5075.3183039999994</v>
      </c>
      <c r="T121" t="s">
        <v>15</v>
      </c>
      <c r="U121" s="7"/>
      <c r="V121" s="7"/>
    </row>
    <row r="122" spans="1:22" x14ac:dyDescent="0.3">
      <c r="A122" s="6"/>
      <c r="F122" s="6" t="s">
        <v>46</v>
      </c>
      <c r="G122">
        <v>1446.85</v>
      </c>
      <c r="H122">
        <v>2</v>
      </c>
      <c r="I122">
        <v>1.28</v>
      </c>
      <c r="J122">
        <v>20</v>
      </c>
      <c r="K122">
        <v>1</v>
      </c>
      <c r="L122">
        <f t="shared" si="68"/>
        <v>2.0594059405940595</v>
      </c>
      <c r="M122">
        <v>0.93</v>
      </c>
      <c r="N122">
        <v>2.2999999999999998</v>
      </c>
      <c r="O122">
        <f t="shared" si="69"/>
        <v>3.1389999999999998</v>
      </c>
      <c r="P122">
        <v>1.1499999999999999</v>
      </c>
      <c r="Q122">
        <v>1</v>
      </c>
      <c r="R122">
        <v>0.05</v>
      </c>
      <c r="S122">
        <f t="shared" si="70"/>
        <v>1376.7801489489107</v>
      </c>
      <c r="T122">
        <f>SUM(S120:S123)</f>
        <v>36496.3372212084</v>
      </c>
      <c r="U122" s="7"/>
      <c r="V122" s="7"/>
    </row>
    <row r="123" spans="1:22" x14ac:dyDescent="0.3">
      <c r="A123" s="6"/>
      <c r="F123" s="6" t="s">
        <v>47</v>
      </c>
      <c r="G123">
        <v>1446.85</v>
      </c>
      <c r="H123">
        <v>2</v>
      </c>
      <c r="I123">
        <v>1.28</v>
      </c>
      <c r="J123">
        <v>0</v>
      </c>
      <c r="K123">
        <v>1.9</v>
      </c>
      <c r="L123">
        <f t="shared" si="68"/>
        <v>2.9</v>
      </c>
      <c r="M123">
        <v>0.5</v>
      </c>
      <c r="N123">
        <v>1.5</v>
      </c>
      <c r="O123">
        <f t="shared" si="69"/>
        <v>1.75</v>
      </c>
      <c r="P123">
        <v>1.1499999999999999</v>
      </c>
      <c r="Q123">
        <v>1</v>
      </c>
      <c r="R123">
        <v>0.05</v>
      </c>
      <c r="S123">
        <f t="shared" si="70"/>
        <v>1080.854824</v>
      </c>
      <c r="U123" s="7"/>
      <c r="V123" s="7"/>
    </row>
    <row r="124" spans="1:22" x14ac:dyDescent="0.3">
      <c r="A124" s="6"/>
      <c r="F124" s="6"/>
      <c r="U124" s="7"/>
      <c r="V124" s="7"/>
    </row>
    <row r="125" spans="1:22" x14ac:dyDescent="0.3">
      <c r="A125" s="6"/>
      <c r="F125" s="6"/>
      <c r="G125" t="s">
        <v>42</v>
      </c>
      <c r="H125" t="s">
        <v>43</v>
      </c>
      <c r="I125" t="s">
        <v>6</v>
      </c>
      <c r="J125" t="s">
        <v>2</v>
      </c>
      <c r="K125" t="s">
        <v>18</v>
      </c>
      <c r="L125" t="s">
        <v>9</v>
      </c>
      <c r="M125" t="s">
        <v>0</v>
      </c>
      <c r="N125" t="s">
        <v>11</v>
      </c>
      <c r="O125" t="s">
        <v>12</v>
      </c>
      <c r="P125" t="s">
        <v>13</v>
      </c>
      <c r="Q125" t="s">
        <v>14</v>
      </c>
      <c r="R125" t="s">
        <v>48</v>
      </c>
      <c r="S125" t="s">
        <v>49</v>
      </c>
      <c r="T125" t="s">
        <v>51</v>
      </c>
      <c r="U125" s="7" t="s">
        <v>16</v>
      </c>
      <c r="V125" s="7"/>
    </row>
    <row r="126" spans="1:22" x14ac:dyDescent="0.3">
      <c r="A126" s="6"/>
      <c r="F126" s="6" t="s">
        <v>44</v>
      </c>
      <c r="G126">
        <v>1446.85</v>
      </c>
      <c r="H126">
        <v>2</v>
      </c>
      <c r="I126">
        <v>1.28</v>
      </c>
      <c r="J126">
        <v>200</v>
      </c>
      <c r="K126">
        <v>2.38</v>
      </c>
      <c r="L126">
        <f>1+6*J126/(J126+2000)+K126</f>
        <v>3.9254545454545453</v>
      </c>
      <c r="M126">
        <v>0.85</v>
      </c>
      <c r="N126">
        <v>2.2200000000000002</v>
      </c>
      <c r="O126">
        <f>1+M126*N126</f>
        <v>2.887</v>
      </c>
      <c r="P126">
        <v>0.9</v>
      </c>
      <c r="Q126">
        <v>1</v>
      </c>
      <c r="R126">
        <v>0.6</v>
      </c>
      <c r="S126">
        <f>G126*H126*I126*L126*O126*P126*Q126*R126</f>
        <v>22666.996130290037</v>
      </c>
      <c r="T126">
        <v>2</v>
      </c>
      <c r="U126" s="7">
        <f>T128*T126</f>
        <v>59331.361869717504</v>
      </c>
      <c r="V126" s="7"/>
    </row>
    <row r="127" spans="1:22" x14ac:dyDescent="0.3">
      <c r="A127" s="6"/>
      <c r="F127" s="6" t="s">
        <v>45</v>
      </c>
      <c r="G127">
        <v>1446.85</v>
      </c>
      <c r="H127">
        <v>2</v>
      </c>
      <c r="I127">
        <v>1.28</v>
      </c>
      <c r="J127">
        <v>0</v>
      </c>
      <c r="K127">
        <v>1.9</v>
      </c>
      <c r="L127">
        <f t="shared" ref="L127:L129" si="71">1+6*J127/(J127+2000)+K127</f>
        <v>2.9</v>
      </c>
      <c r="M127">
        <v>0.5</v>
      </c>
      <c r="N127">
        <v>1.5</v>
      </c>
      <c r="O127">
        <f t="shared" ref="O127:O129" si="72">1+M127*N127</f>
        <v>1.75</v>
      </c>
      <c r="P127">
        <v>0.9</v>
      </c>
      <c r="Q127">
        <v>1</v>
      </c>
      <c r="R127">
        <v>0.3</v>
      </c>
      <c r="S127">
        <f t="shared" ref="S127:S129" si="73">G127*H127*I127*L127*O127*P127*Q127*R127</f>
        <v>5075.3183039999994</v>
      </c>
      <c r="T127" t="s">
        <v>15</v>
      </c>
      <c r="U127" s="7"/>
      <c r="V127" s="7"/>
    </row>
    <row r="128" spans="1:22" x14ac:dyDescent="0.3">
      <c r="A128" s="6"/>
      <c r="F128" s="6" t="s">
        <v>46</v>
      </c>
      <c r="G128">
        <v>1446.85</v>
      </c>
      <c r="H128">
        <v>2</v>
      </c>
      <c r="I128">
        <v>1.28</v>
      </c>
      <c r="J128">
        <v>20</v>
      </c>
      <c r="K128">
        <v>1</v>
      </c>
      <c r="L128">
        <f t="shared" si="71"/>
        <v>2.0594059405940595</v>
      </c>
      <c r="M128">
        <v>0.93</v>
      </c>
      <c r="N128">
        <v>2.2999999999999998</v>
      </c>
      <c r="O128">
        <f t="shared" si="72"/>
        <v>3.1389999999999998</v>
      </c>
      <c r="P128">
        <v>0.9</v>
      </c>
      <c r="Q128">
        <v>1</v>
      </c>
      <c r="R128">
        <v>0.05</v>
      </c>
      <c r="S128">
        <f t="shared" si="73"/>
        <v>1077.4801165687129</v>
      </c>
      <c r="T128">
        <f>SUM(S126:S129)</f>
        <v>29665.680934858752</v>
      </c>
      <c r="U128" s="7"/>
      <c r="V128" s="7"/>
    </row>
    <row r="129" spans="1:22" ht="14.5" thickBot="1" x14ac:dyDescent="0.35">
      <c r="A129" s="6"/>
      <c r="F129" s="8" t="s">
        <v>47</v>
      </c>
      <c r="G129" s="9">
        <v>1446.85</v>
      </c>
      <c r="H129" s="9">
        <v>2</v>
      </c>
      <c r="I129" s="9">
        <v>1.28</v>
      </c>
      <c r="J129" s="9">
        <v>0</v>
      </c>
      <c r="K129" s="9">
        <v>1.9</v>
      </c>
      <c r="L129" s="9">
        <f t="shared" si="71"/>
        <v>2.9</v>
      </c>
      <c r="M129">
        <v>0.5</v>
      </c>
      <c r="N129" s="9">
        <v>1.5</v>
      </c>
      <c r="O129" s="9">
        <f t="shared" si="72"/>
        <v>1.75</v>
      </c>
      <c r="P129" s="9">
        <v>0.9</v>
      </c>
      <c r="Q129" s="9">
        <v>1</v>
      </c>
      <c r="R129" s="9">
        <v>0.05</v>
      </c>
      <c r="S129" s="9">
        <f t="shared" si="73"/>
        <v>845.88638400000002</v>
      </c>
      <c r="T129" s="9"/>
      <c r="U129" s="10"/>
      <c r="V129" s="7"/>
    </row>
    <row r="130" spans="1:22" ht="14.5" thickBot="1" x14ac:dyDescent="0.35">
      <c r="A130" s="6"/>
      <c r="F130" s="23" t="s">
        <v>54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7"/>
    </row>
    <row r="131" spans="1:22" x14ac:dyDescent="0.3">
      <c r="A131" s="6"/>
      <c r="F131" s="3"/>
      <c r="G131" s="4" t="s">
        <v>42</v>
      </c>
      <c r="H131" s="4" t="s">
        <v>52</v>
      </c>
      <c r="I131" s="4" t="s">
        <v>6</v>
      </c>
      <c r="J131" s="4" t="s">
        <v>2</v>
      </c>
      <c r="K131" s="4" t="s">
        <v>18</v>
      </c>
      <c r="L131" s="4" t="s">
        <v>9</v>
      </c>
      <c r="M131" s="4" t="s">
        <v>0</v>
      </c>
      <c r="N131" s="4" t="s">
        <v>11</v>
      </c>
      <c r="O131" s="4" t="s">
        <v>12</v>
      </c>
      <c r="P131" s="4" t="s">
        <v>13</v>
      </c>
      <c r="Q131" s="4" t="s">
        <v>14</v>
      </c>
      <c r="R131" s="4" t="s">
        <v>48</v>
      </c>
      <c r="S131" s="4" t="s">
        <v>49</v>
      </c>
      <c r="T131" s="4" t="s">
        <v>51</v>
      </c>
      <c r="U131" s="5" t="s">
        <v>16</v>
      </c>
      <c r="V131" s="7"/>
    </row>
    <row r="132" spans="1:22" x14ac:dyDescent="0.3">
      <c r="A132" s="6"/>
      <c r="F132" s="6" t="s">
        <v>44</v>
      </c>
      <c r="G132">
        <v>1446.85</v>
      </c>
      <c r="H132">
        <v>0.75</v>
      </c>
      <c r="I132">
        <v>1.28</v>
      </c>
      <c r="J132">
        <v>0</v>
      </c>
      <c r="K132">
        <v>1.9</v>
      </c>
      <c r="L132">
        <f t="shared" ref="L132" si="74">1+6*J132/(J132+2000)+K132</f>
        <v>2.9</v>
      </c>
      <c r="M132">
        <v>0.5</v>
      </c>
      <c r="N132">
        <v>1.5</v>
      </c>
      <c r="O132">
        <f t="shared" ref="O132" si="75">1+M132*N132</f>
        <v>1.75</v>
      </c>
      <c r="P132">
        <v>0.9</v>
      </c>
      <c r="Q132">
        <v>1</v>
      </c>
      <c r="R132">
        <v>0.6</v>
      </c>
      <c r="S132">
        <f>G132*H132*I132*L132*O132*P132*Q132*R132</f>
        <v>3806.4887279999994</v>
      </c>
      <c r="T132">
        <v>4</v>
      </c>
      <c r="U132" s="7">
        <f>T134*T132</f>
        <v>40634.945329617978</v>
      </c>
      <c r="V132" s="7"/>
    </row>
    <row r="133" spans="1:22" x14ac:dyDescent="0.3">
      <c r="A133" s="6"/>
      <c r="F133" s="6" t="s">
        <v>45</v>
      </c>
      <c r="G133">
        <v>1446.85</v>
      </c>
      <c r="H133">
        <v>0.75</v>
      </c>
      <c r="I133">
        <v>1.28</v>
      </c>
      <c r="J133">
        <v>200</v>
      </c>
      <c r="K133">
        <v>2.38</v>
      </c>
      <c r="L133">
        <f>1+6*J133/(J133+2000)+K133</f>
        <v>3.9254545454545453</v>
      </c>
      <c r="M133">
        <v>0.85</v>
      </c>
      <c r="N133">
        <v>2.2200000000000002</v>
      </c>
      <c r="O133">
        <f>1+M133*N133</f>
        <v>2.887</v>
      </c>
      <c r="P133">
        <v>1.1499999999999999</v>
      </c>
      <c r="Q133">
        <v>1</v>
      </c>
      <c r="R133">
        <v>0.3</v>
      </c>
      <c r="S133">
        <f t="shared" ref="S133:S135" si="76">G133*H133*I133*L133*O133*P133*Q133*R133</f>
        <v>5430.6344895486536</v>
      </c>
      <c r="T133" t="s">
        <v>15</v>
      </c>
      <c r="U133" s="7"/>
      <c r="V133" s="7"/>
    </row>
    <row r="134" spans="1:22" x14ac:dyDescent="0.3">
      <c r="A134" s="6"/>
      <c r="F134" s="6" t="s">
        <v>46</v>
      </c>
      <c r="G134">
        <v>1446.85</v>
      </c>
      <c r="H134">
        <v>0.75</v>
      </c>
      <c r="I134">
        <v>1.28</v>
      </c>
      <c r="J134">
        <v>20</v>
      </c>
      <c r="K134">
        <v>1</v>
      </c>
      <c r="L134">
        <f t="shared" ref="L134:L135" si="77">1+6*J134/(J134+2000)+K134</f>
        <v>2.0594059405940595</v>
      </c>
      <c r="M134">
        <v>0.93</v>
      </c>
      <c r="N134">
        <v>2.2999999999999998</v>
      </c>
      <c r="O134">
        <f t="shared" ref="O134:O135" si="78">1+M134*N134</f>
        <v>3.1389999999999998</v>
      </c>
      <c r="P134">
        <v>1.1499999999999999</v>
      </c>
      <c r="Q134">
        <v>1</v>
      </c>
      <c r="R134">
        <v>0.05</v>
      </c>
      <c r="S134">
        <f t="shared" si="76"/>
        <v>516.29255585584156</v>
      </c>
      <c r="T134">
        <f>SUM(S132:S135)</f>
        <v>10158.736332404495</v>
      </c>
      <c r="U134" s="7"/>
      <c r="V134" s="7"/>
    </row>
    <row r="135" spans="1:22" x14ac:dyDescent="0.3">
      <c r="A135" s="6"/>
      <c r="F135" s="6" t="s">
        <v>47</v>
      </c>
      <c r="G135">
        <v>1446.85</v>
      </c>
      <c r="H135">
        <v>0.75</v>
      </c>
      <c r="I135">
        <v>1.28</v>
      </c>
      <c r="J135">
        <v>0</v>
      </c>
      <c r="K135">
        <v>1.9</v>
      </c>
      <c r="L135">
        <f t="shared" si="77"/>
        <v>2.9</v>
      </c>
      <c r="M135">
        <v>0.5</v>
      </c>
      <c r="N135">
        <v>1.5</v>
      </c>
      <c r="O135">
        <f t="shared" si="78"/>
        <v>1.75</v>
      </c>
      <c r="P135">
        <v>1.1499999999999999</v>
      </c>
      <c r="Q135">
        <v>1</v>
      </c>
      <c r="R135">
        <v>0.05</v>
      </c>
      <c r="S135">
        <f t="shared" si="76"/>
        <v>405.32055899999995</v>
      </c>
      <c r="U135" s="7"/>
      <c r="V135" s="7"/>
    </row>
    <row r="136" spans="1:22" x14ac:dyDescent="0.3">
      <c r="A136" s="6"/>
      <c r="F136" s="6"/>
      <c r="U136" s="7"/>
      <c r="V136" s="7"/>
    </row>
    <row r="137" spans="1:22" x14ac:dyDescent="0.3">
      <c r="A137" s="6"/>
      <c r="F137" s="6"/>
      <c r="G137" t="s">
        <v>42</v>
      </c>
      <c r="H137" t="s">
        <v>52</v>
      </c>
      <c r="I137" t="s">
        <v>6</v>
      </c>
      <c r="J137" t="s">
        <v>2</v>
      </c>
      <c r="K137" t="s">
        <v>18</v>
      </c>
      <c r="L137" t="s">
        <v>9</v>
      </c>
      <c r="M137" t="s">
        <v>0</v>
      </c>
      <c r="N137" t="s">
        <v>11</v>
      </c>
      <c r="O137" t="s">
        <v>12</v>
      </c>
      <c r="P137" t="s">
        <v>13</v>
      </c>
      <c r="Q137" t="s">
        <v>14</v>
      </c>
      <c r="R137" t="s">
        <v>48</v>
      </c>
      <c r="S137" t="s">
        <v>49</v>
      </c>
      <c r="T137" t="s">
        <v>51</v>
      </c>
      <c r="U137" s="7" t="s">
        <v>16</v>
      </c>
      <c r="V137" s="7"/>
    </row>
    <row r="138" spans="1:22" x14ac:dyDescent="0.3">
      <c r="A138" s="6"/>
      <c r="F138" s="6" t="s">
        <v>44</v>
      </c>
      <c r="G138">
        <v>1446.85</v>
      </c>
      <c r="H138">
        <v>0.75</v>
      </c>
      <c r="I138">
        <v>1.28</v>
      </c>
      <c r="J138">
        <v>0</v>
      </c>
      <c r="K138">
        <v>1.9</v>
      </c>
      <c r="L138">
        <f t="shared" ref="L138" si="79">1+6*J138/(J138+2000)+K138</f>
        <v>2.9</v>
      </c>
      <c r="M138">
        <v>0.5</v>
      </c>
      <c r="N138">
        <v>1.5</v>
      </c>
      <c r="O138">
        <f t="shared" ref="O138" si="80">1+M138*N138</f>
        <v>1.75</v>
      </c>
      <c r="P138">
        <v>0.9</v>
      </c>
      <c r="Q138">
        <v>1</v>
      </c>
      <c r="R138">
        <v>0.6</v>
      </c>
      <c r="S138">
        <f>G138*H138*I138*L138*O138*P138*Q138*R138</f>
        <v>3806.4887279999994</v>
      </c>
      <c r="T138">
        <v>2</v>
      </c>
      <c r="U138" s="7">
        <f>T140*T138</f>
        <v>17956.327234570443</v>
      </c>
      <c r="V138" s="7"/>
    </row>
    <row r="139" spans="1:22" x14ac:dyDescent="0.3">
      <c r="A139" s="6"/>
      <c r="F139" s="6" t="s">
        <v>45</v>
      </c>
      <c r="G139">
        <v>1446.85</v>
      </c>
      <c r="H139">
        <v>0.75</v>
      </c>
      <c r="I139">
        <v>1.28</v>
      </c>
      <c r="J139">
        <v>200</v>
      </c>
      <c r="K139">
        <v>2.38</v>
      </c>
      <c r="L139">
        <f>1+6*J139/(J139+2000)+K139</f>
        <v>3.9254545454545453</v>
      </c>
      <c r="M139">
        <v>0.85</v>
      </c>
      <c r="N139">
        <v>2.2200000000000002</v>
      </c>
      <c r="O139">
        <f>1+M139*N139</f>
        <v>2.887</v>
      </c>
      <c r="P139">
        <v>0.9</v>
      </c>
      <c r="Q139">
        <v>1</v>
      </c>
      <c r="R139">
        <v>0.3</v>
      </c>
      <c r="S139">
        <f t="shared" ref="S139:S141" si="81">G139*H139*I139*L139*O139*P139*Q139*R139</f>
        <v>4250.0617744293813</v>
      </c>
      <c r="T139" t="s">
        <v>15</v>
      </c>
      <c r="U139" s="7"/>
      <c r="V139" s="7"/>
    </row>
    <row r="140" spans="1:22" x14ac:dyDescent="0.3">
      <c r="A140" s="6"/>
      <c r="F140" s="6" t="s">
        <v>46</v>
      </c>
      <c r="G140">
        <v>1446.85</v>
      </c>
      <c r="H140">
        <v>0.75</v>
      </c>
      <c r="I140">
        <v>1.28</v>
      </c>
      <c r="J140">
        <v>20</v>
      </c>
      <c r="K140">
        <v>1</v>
      </c>
      <c r="L140">
        <f t="shared" ref="L140:L141" si="82">1+6*J140/(J140+2000)+K140</f>
        <v>2.0594059405940595</v>
      </c>
      <c r="M140">
        <v>0.93</v>
      </c>
      <c r="N140">
        <v>2.2999999999999998</v>
      </c>
      <c r="O140">
        <f t="shared" ref="O140:O141" si="83">1+M140*N140</f>
        <v>3.1389999999999998</v>
      </c>
      <c r="P140">
        <v>1.1499999999999999</v>
      </c>
      <c r="Q140">
        <v>1</v>
      </c>
      <c r="R140">
        <v>0.05</v>
      </c>
      <c r="S140">
        <f t="shared" si="81"/>
        <v>516.29255585584156</v>
      </c>
      <c r="T140">
        <f>SUM(S138:S141)</f>
        <v>8978.1636172852213</v>
      </c>
      <c r="U140" s="7"/>
      <c r="V140" s="7"/>
    </row>
    <row r="141" spans="1:22" ht="14.5" thickBot="1" x14ac:dyDescent="0.35">
      <c r="A141" s="8"/>
      <c r="B141" s="9"/>
      <c r="C141" s="9"/>
      <c r="D141" s="9"/>
      <c r="E141" s="9"/>
      <c r="F141" s="8" t="s">
        <v>47</v>
      </c>
      <c r="G141" s="9">
        <v>1446.85</v>
      </c>
      <c r="H141" s="9">
        <v>0.75</v>
      </c>
      <c r="I141" s="9">
        <v>1.28</v>
      </c>
      <c r="J141" s="9">
        <v>0</v>
      </c>
      <c r="K141" s="9">
        <v>1.9</v>
      </c>
      <c r="L141" s="9">
        <f t="shared" si="82"/>
        <v>2.9</v>
      </c>
      <c r="M141" s="9">
        <v>0.5</v>
      </c>
      <c r="N141" s="9">
        <v>1.5</v>
      </c>
      <c r="O141" s="9">
        <f t="shared" si="83"/>
        <v>1.75</v>
      </c>
      <c r="P141" s="9">
        <v>1.1499999999999999</v>
      </c>
      <c r="Q141" s="9">
        <v>1</v>
      </c>
      <c r="R141" s="9">
        <v>0.05</v>
      </c>
      <c r="S141" s="9">
        <f t="shared" si="81"/>
        <v>405.32055899999995</v>
      </c>
      <c r="T141" s="9"/>
      <c r="U141" s="10"/>
      <c r="V141" s="10"/>
    </row>
    <row r="149" spans="1:22" ht="14.5" thickBot="1" x14ac:dyDescent="0.35"/>
    <row r="150" spans="1:22" x14ac:dyDescent="0.3">
      <c r="A150" s="15" t="s">
        <v>64</v>
      </c>
      <c r="B150" s="16"/>
      <c r="C150" s="16"/>
      <c r="D150" s="17"/>
      <c r="E150" s="11"/>
      <c r="F150" s="3" t="s">
        <v>4</v>
      </c>
      <c r="G150" s="4" t="s">
        <v>1</v>
      </c>
      <c r="H150" s="4" t="s">
        <v>5</v>
      </c>
      <c r="I150" s="4" t="s">
        <v>6</v>
      </c>
      <c r="J150" s="4" t="s">
        <v>7</v>
      </c>
      <c r="K150" s="4" t="s">
        <v>8</v>
      </c>
      <c r="L150" s="4" t="s">
        <v>2</v>
      </c>
      <c r="M150" s="4" t="s">
        <v>18</v>
      </c>
      <c r="N150" s="4" t="s">
        <v>9</v>
      </c>
      <c r="O150" s="4" t="s">
        <v>10</v>
      </c>
      <c r="P150" s="4" t="s">
        <v>0</v>
      </c>
      <c r="Q150" s="4" t="s">
        <v>11</v>
      </c>
      <c r="R150" s="4" t="s">
        <v>12</v>
      </c>
      <c r="S150" s="4" t="s">
        <v>13</v>
      </c>
      <c r="T150" s="4" t="s">
        <v>14</v>
      </c>
      <c r="U150" s="4" t="s">
        <v>15</v>
      </c>
      <c r="V150" s="5" t="s">
        <v>16</v>
      </c>
    </row>
    <row r="151" spans="1:22" x14ac:dyDescent="0.3">
      <c r="A151" s="18" t="s">
        <v>27</v>
      </c>
      <c r="B151" s="1" t="s">
        <v>25</v>
      </c>
      <c r="C151" s="1" t="s">
        <v>26</v>
      </c>
      <c r="D151" s="1" t="s">
        <v>28</v>
      </c>
      <c r="F151" s="6" t="s">
        <v>17</v>
      </c>
      <c r="G151">
        <f>3199+488+203+427</f>
        <v>4317</v>
      </c>
      <c r="H151">
        <v>2.4224999999999999</v>
      </c>
      <c r="I151">
        <v>1.28</v>
      </c>
      <c r="J151">
        <v>1</v>
      </c>
      <c r="K151">
        <f>G151*H151*I151*J151</f>
        <v>13386.1536</v>
      </c>
      <c r="L151">
        <v>200</v>
      </c>
      <c r="M151">
        <v>2.38</v>
      </c>
      <c r="N151">
        <f>1+6*L151/(L151+2000)+M151</f>
        <v>3.9254545454545453</v>
      </c>
      <c r="O151">
        <v>0</v>
      </c>
      <c r="P151">
        <v>0.85</v>
      </c>
      <c r="Q151">
        <v>2.2200000000000002</v>
      </c>
      <c r="R151">
        <f>1+P151*Q151</f>
        <v>2.887</v>
      </c>
      <c r="S151">
        <v>1.25</v>
      </c>
      <c r="T151">
        <v>1</v>
      </c>
      <c r="U151">
        <f>(K151*N151+O151)*R151*S151*T151</f>
        <v>189628.03893606545</v>
      </c>
      <c r="V151" s="7">
        <f>SUM(U151:U163)</f>
        <v>2946915.6262145131</v>
      </c>
    </row>
    <row r="152" spans="1:22" x14ac:dyDescent="0.3">
      <c r="A152" s="18"/>
      <c r="B152" s="1">
        <f>B154+B156+B158</f>
        <v>4511325.7506527966</v>
      </c>
      <c r="C152" s="1">
        <f>B152/D152</f>
        <v>225566.28753263984</v>
      </c>
      <c r="D152" s="1">
        <v>20</v>
      </c>
      <c r="F152" s="6" t="s">
        <v>17</v>
      </c>
      <c r="G152">
        <f t="shared" ref="G152:G159" si="84">3199+488+203+427</f>
        <v>4317</v>
      </c>
      <c r="H152">
        <v>2.4224999999999999</v>
      </c>
      <c r="I152">
        <v>1.28</v>
      </c>
      <c r="J152">
        <v>1</v>
      </c>
      <c r="K152">
        <f t="shared" ref="K152:K159" si="85">G152*H152*I152*J152</f>
        <v>13386.1536</v>
      </c>
      <c r="L152">
        <v>200</v>
      </c>
      <c r="M152">
        <v>2.38</v>
      </c>
      <c r="N152">
        <f t="shared" ref="N152:N163" si="86">1+6*L152/(L152+2000)+M152</f>
        <v>3.9254545454545453</v>
      </c>
      <c r="O152">
        <v>0</v>
      </c>
      <c r="P152">
        <v>0.85</v>
      </c>
      <c r="Q152">
        <v>2.2200000000000002</v>
      </c>
      <c r="R152">
        <f t="shared" ref="R152:R163" si="87">1+P152*Q152</f>
        <v>2.887</v>
      </c>
      <c r="S152">
        <v>1.25</v>
      </c>
      <c r="T152">
        <v>1</v>
      </c>
      <c r="U152">
        <f t="shared" ref="U152:U163" si="88">(K152*N152+O152)*R152*S152*T152</f>
        <v>189628.03893606545</v>
      </c>
      <c r="V152" s="7"/>
    </row>
    <row r="153" spans="1:22" x14ac:dyDescent="0.3">
      <c r="A153" s="18"/>
      <c r="B153" s="1" t="s">
        <v>29</v>
      </c>
      <c r="C153" s="1" t="s">
        <v>30</v>
      </c>
      <c r="D153" s="1"/>
      <c r="F153" s="6" t="s">
        <v>17</v>
      </c>
      <c r="G153">
        <f t="shared" si="84"/>
        <v>4317</v>
      </c>
      <c r="H153">
        <v>2.4224999999999999</v>
      </c>
      <c r="I153">
        <v>1.28</v>
      </c>
      <c r="J153">
        <v>1</v>
      </c>
      <c r="K153">
        <f t="shared" si="85"/>
        <v>13386.1536</v>
      </c>
      <c r="L153">
        <v>200</v>
      </c>
      <c r="M153">
        <v>2.38</v>
      </c>
      <c r="N153">
        <f t="shared" si="86"/>
        <v>3.9254545454545453</v>
      </c>
      <c r="O153">
        <v>0</v>
      </c>
      <c r="P153">
        <v>0.85</v>
      </c>
      <c r="Q153">
        <v>2.2200000000000002</v>
      </c>
      <c r="R153">
        <f t="shared" si="87"/>
        <v>2.887</v>
      </c>
      <c r="S153">
        <v>1.25</v>
      </c>
      <c r="T153">
        <v>1</v>
      </c>
      <c r="U153">
        <f t="shared" si="88"/>
        <v>189628.03893606545</v>
      </c>
      <c r="V153" s="7"/>
    </row>
    <row r="154" spans="1:22" x14ac:dyDescent="0.3">
      <c r="A154" s="18"/>
      <c r="B154" s="1">
        <f>V151+T167</f>
        <v>3372862.991240208</v>
      </c>
      <c r="C154" s="2">
        <f>B154/B152</f>
        <v>0.74764341518724264</v>
      </c>
      <c r="D154" s="1"/>
      <c r="F154" s="6" t="s">
        <v>19</v>
      </c>
      <c r="G154">
        <f t="shared" si="84"/>
        <v>4317</v>
      </c>
      <c r="H154">
        <v>0.58320000000000005</v>
      </c>
      <c r="I154">
        <v>1.28</v>
      </c>
      <c r="J154">
        <v>4</v>
      </c>
      <c r="K154">
        <f t="shared" si="85"/>
        <v>12890.492928000001</v>
      </c>
      <c r="L154">
        <v>200</v>
      </c>
      <c r="M154">
        <v>2.38</v>
      </c>
      <c r="N154">
        <f t="shared" si="86"/>
        <v>3.9254545454545453</v>
      </c>
      <c r="O154">
        <v>0</v>
      </c>
      <c r="P154">
        <v>0.85</v>
      </c>
      <c r="Q154">
        <v>2.2200000000000002</v>
      </c>
      <c r="R154">
        <f t="shared" si="87"/>
        <v>2.887</v>
      </c>
      <c r="S154">
        <v>1.25</v>
      </c>
      <c r="T154">
        <v>1</v>
      </c>
      <c r="U154">
        <f t="shared" si="88"/>
        <v>182606.51774202415</v>
      </c>
      <c r="V154" s="7"/>
    </row>
    <row r="155" spans="1:22" x14ac:dyDescent="0.3">
      <c r="A155" s="18"/>
      <c r="B155" s="1" t="s">
        <v>31</v>
      </c>
      <c r="C155" s="2" t="s">
        <v>30</v>
      </c>
      <c r="D155" s="1"/>
      <c r="F155" s="6" t="s">
        <v>20</v>
      </c>
      <c r="G155">
        <f t="shared" si="84"/>
        <v>4317</v>
      </c>
      <c r="H155">
        <v>5.9543999999999997</v>
      </c>
      <c r="I155">
        <v>1.28</v>
      </c>
      <c r="J155">
        <v>2</v>
      </c>
      <c r="K155">
        <f t="shared" si="85"/>
        <v>65805.170687999998</v>
      </c>
      <c r="L155">
        <v>200</v>
      </c>
      <c r="M155">
        <v>2.38</v>
      </c>
      <c r="N155">
        <f t="shared" si="86"/>
        <v>3.9254545454545453</v>
      </c>
      <c r="O155">
        <v>0</v>
      </c>
      <c r="P155">
        <v>0.85</v>
      </c>
      <c r="Q155">
        <v>2.2200000000000002</v>
      </c>
      <c r="R155">
        <f t="shared" si="87"/>
        <v>2.887</v>
      </c>
      <c r="S155">
        <v>1.25</v>
      </c>
      <c r="T155">
        <v>1</v>
      </c>
      <c r="U155">
        <f t="shared" si="88"/>
        <v>932195.00106576504</v>
      </c>
      <c r="V155" s="7"/>
    </row>
    <row r="156" spans="1:22" x14ac:dyDescent="0.3">
      <c r="A156" s="18"/>
      <c r="B156" s="1">
        <f>V177+T190</f>
        <v>922909.65847209003</v>
      </c>
      <c r="C156" s="2">
        <f>B156/B152</f>
        <v>0.20457615111002422</v>
      </c>
      <c r="D156" s="1"/>
      <c r="F156" s="6" t="s">
        <v>17</v>
      </c>
      <c r="G156">
        <f t="shared" si="84"/>
        <v>4317</v>
      </c>
      <c r="H156">
        <v>2.4224999999999999</v>
      </c>
      <c r="I156">
        <v>1.28</v>
      </c>
      <c r="J156">
        <v>1</v>
      </c>
      <c r="K156">
        <f t="shared" si="85"/>
        <v>13386.1536</v>
      </c>
      <c r="L156">
        <v>200</v>
      </c>
      <c r="M156">
        <v>2.38</v>
      </c>
      <c r="N156">
        <f t="shared" si="86"/>
        <v>3.9254545454545453</v>
      </c>
      <c r="O156">
        <v>0</v>
      </c>
      <c r="P156">
        <v>0.85</v>
      </c>
      <c r="Q156">
        <v>2.2200000000000002</v>
      </c>
      <c r="R156">
        <f t="shared" si="87"/>
        <v>2.887</v>
      </c>
      <c r="S156">
        <v>1.25</v>
      </c>
      <c r="T156">
        <v>1</v>
      </c>
      <c r="U156">
        <f t="shared" si="88"/>
        <v>189628.03893606545</v>
      </c>
      <c r="V156" s="7"/>
    </row>
    <row r="157" spans="1:22" x14ac:dyDescent="0.3">
      <c r="A157" s="18"/>
      <c r="B157" s="1" t="s">
        <v>50</v>
      </c>
      <c r="C157" s="2" t="s">
        <v>30</v>
      </c>
      <c r="D157" s="1"/>
      <c r="F157" s="6" t="s">
        <v>17</v>
      </c>
      <c r="G157">
        <f t="shared" si="84"/>
        <v>4317</v>
      </c>
      <c r="H157">
        <v>2.4224999999999999</v>
      </c>
      <c r="I157">
        <v>1.28</v>
      </c>
      <c r="J157">
        <v>1</v>
      </c>
      <c r="K157">
        <f t="shared" si="85"/>
        <v>13386.1536</v>
      </c>
      <c r="L157">
        <v>200</v>
      </c>
      <c r="M157">
        <v>2.38</v>
      </c>
      <c r="N157">
        <f t="shared" si="86"/>
        <v>3.9254545454545453</v>
      </c>
      <c r="O157">
        <v>0</v>
      </c>
      <c r="P157">
        <v>0.85</v>
      </c>
      <c r="Q157">
        <v>2.2200000000000002</v>
      </c>
      <c r="R157">
        <f t="shared" si="87"/>
        <v>2.887</v>
      </c>
      <c r="S157">
        <v>1.25</v>
      </c>
      <c r="T157">
        <v>1</v>
      </c>
      <c r="U157">
        <f t="shared" si="88"/>
        <v>189628.03893606545</v>
      </c>
      <c r="V157" s="7"/>
    </row>
    <row r="158" spans="1:22" x14ac:dyDescent="0.3">
      <c r="A158" s="18"/>
      <c r="B158" s="1">
        <f>U195+U201+U207+U213</f>
        <v>215553.10094049817</v>
      </c>
      <c r="C158" s="2">
        <f>B158/B152</f>
        <v>4.7780433702733008E-2</v>
      </c>
      <c r="D158" s="1"/>
      <c r="F158" s="6" t="s">
        <v>17</v>
      </c>
      <c r="G158">
        <f t="shared" si="84"/>
        <v>4317</v>
      </c>
      <c r="H158">
        <v>2.4224999999999999</v>
      </c>
      <c r="I158">
        <v>1.28</v>
      </c>
      <c r="J158">
        <v>1</v>
      </c>
      <c r="K158">
        <f t="shared" si="85"/>
        <v>13386.1536</v>
      </c>
      <c r="L158">
        <v>200</v>
      </c>
      <c r="M158">
        <v>2.38</v>
      </c>
      <c r="N158">
        <f t="shared" si="86"/>
        <v>3.9254545454545453</v>
      </c>
      <c r="O158">
        <v>0</v>
      </c>
      <c r="P158">
        <v>0.85</v>
      </c>
      <c r="Q158">
        <v>2.2200000000000002</v>
      </c>
      <c r="R158">
        <f t="shared" si="87"/>
        <v>2.887</v>
      </c>
      <c r="S158">
        <v>1.25</v>
      </c>
      <c r="T158">
        <v>1</v>
      </c>
      <c r="U158">
        <f t="shared" si="88"/>
        <v>189628.03893606545</v>
      </c>
      <c r="V158" s="7"/>
    </row>
    <row r="159" spans="1:22" x14ac:dyDescent="0.3">
      <c r="A159" s="6"/>
      <c r="F159" s="6" t="s">
        <v>19</v>
      </c>
      <c r="G159">
        <f t="shared" si="84"/>
        <v>4317</v>
      </c>
      <c r="H159">
        <v>0.58320000000000005</v>
      </c>
      <c r="I159">
        <v>1.28</v>
      </c>
      <c r="J159">
        <v>4</v>
      </c>
      <c r="K159">
        <f t="shared" si="85"/>
        <v>12890.492928000001</v>
      </c>
      <c r="L159">
        <v>200</v>
      </c>
      <c r="M159">
        <v>2.38</v>
      </c>
      <c r="N159">
        <f t="shared" si="86"/>
        <v>3.9254545454545453</v>
      </c>
      <c r="O159">
        <v>0</v>
      </c>
      <c r="P159">
        <v>0.85</v>
      </c>
      <c r="Q159">
        <v>2.2200000000000002</v>
      </c>
      <c r="R159">
        <f t="shared" si="87"/>
        <v>2.887</v>
      </c>
      <c r="S159">
        <v>1.25</v>
      </c>
      <c r="T159">
        <v>1</v>
      </c>
      <c r="U159">
        <f t="shared" si="88"/>
        <v>182606.51774202415</v>
      </c>
      <c r="V159" s="7"/>
    </row>
    <row r="160" spans="1:22" x14ac:dyDescent="0.3">
      <c r="A160" s="6"/>
      <c r="F160" s="6" t="s">
        <v>17</v>
      </c>
      <c r="G160">
        <f>3199+203+427</f>
        <v>3829</v>
      </c>
      <c r="H160">
        <v>2.4224999999999999</v>
      </c>
      <c r="I160">
        <v>1.28</v>
      </c>
      <c r="J160">
        <v>1</v>
      </c>
      <c r="K160">
        <f>G160*H160*I160*J160</f>
        <v>11872.963199999998</v>
      </c>
      <c r="L160">
        <v>200</v>
      </c>
      <c r="M160">
        <v>2.38</v>
      </c>
      <c r="N160">
        <f t="shared" si="86"/>
        <v>3.9254545454545453</v>
      </c>
      <c r="O160">
        <v>0</v>
      </c>
      <c r="P160">
        <v>0.85</v>
      </c>
      <c r="Q160">
        <v>2.2200000000000002</v>
      </c>
      <c r="R160">
        <f t="shared" si="87"/>
        <v>2.887</v>
      </c>
      <c r="S160">
        <v>1.05</v>
      </c>
      <c r="T160">
        <v>1</v>
      </c>
      <c r="U160">
        <f t="shared" si="88"/>
        <v>141281.45455464523</v>
      </c>
      <c r="V160" s="7"/>
    </row>
    <row r="161" spans="1:22" x14ac:dyDescent="0.3">
      <c r="A161" s="6"/>
      <c r="F161" s="6" t="s">
        <v>17</v>
      </c>
      <c r="G161">
        <f>3199+203+427</f>
        <v>3829</v>
      </c>
      <c r="H161">
        <v>2.4224999999999999</v>
      </c>
      <c r="I161">
        <v>1.28</v>
      </c>
      <c r="J161">
        <v>1</v>
      </c>
      <c r="K161">
        <f t="shared" ref="K161:K163" si="89">G161*H161*I161*J161</f>
        <v>11872.963199999998</v>
      </c>
      <c r="L161">
        <v>200</v>
      </c>
      <c r="M161">
        <v>2.38</v>
      </c>
      <c r="N161">
        <f t="shared" si="86"/>
        <v>3.9254545454545453</v>
      </c>
      <c r="O161">
        <v>0</v>
      </c>
      <c r="P161">
        <v>0.85</v>
      </c>
      <c r="Q161">
        <v>2.2200000000000002</v>
      </c>
      <c r="R161">
        <f t="shared" si="87"/>
        <v>2.887</v>
      </c>
      <c r="S161">
        <v>1.05</v>
      </c>
      <c r="T161">
        <v>1</v>
      </c>
      <c r="U161">
        <f t="shared" si="88"/>
        <v>141281.45455464523</v>
      </c>
      <c r="V161" s="7"/>
    </row>
    <row r="162" spans="1:22" x14ac:dyDescent="0.3">
      <c r="A162" s="6"/>
      <c r="F162" s="6" t="s">
        <v>17</v>
      </c>
      <c r="G162">
        <f>3199+427</f>
        <v>3626</v>
      </c>
      <c r="H162">
        <v>2.4224999999999999</v>
      </c>
      <c r="I162">
        <v>1.28</v>
      </c>
      <c r="J162">
        <v>1</v>
      </c>
      <c r="K162">
        <f t="shared" si="89"/>
        <v>11243.500799999998</v>
      </c>
      <c r="L162">
        <v>200</v>
      </c>
      <c r="M162">
        <v>1.88</v>
      </c>
      <c r="N162">
        <f t="shared" si="86"/>
        <v>3.4254545454545453</v>
      </c>
      <c r="O162">
        <v>0</v>
      </c>
      <c r="P162">
        <v>0.85</v>
      </c>
      <c r="Q162">
        <v>2.2200000000000002</v>
      </c>
      <c r="R162">
        <f t="shared" si="87"/>
        <v>2.887</v>
      </c>
      <c r="S162">
        <v>1.05</v>
      </c>
      <c r="T162">
        <v>1</v>
      </c>
      <c r="U162">
        <f t="shared" si="88"/>
        <v>116749.71983045583</v>
      </c>
      <c r="V162" s="7"/>
    </row>
    <row r="163" spans="1:22" x14ac:dyDescent="0.3">
      <c r="A163" s="6"/>
      <c r="F163" s="6" t="s">
        <v>19</v>
      </c>
      <c r="G163">
        <f>3199+427</f>
        <v>3626</v>
      </c>
      <c r="H163">
        <v>0.58320000000000005</v>
      </c>
      <c r="I163">
        <v>1.28</v>
      </c>
      <c r="J163">
        <v>4</v>
      </c>
      <c r="K163">
        <f t="shared" si="89"/>
        <v>10827.177984000002</v>
      </c>
      <c r="L163">
        <v>200</v>
      </c>
      <c r="M163">
        <v>1.88</v>
      </c>
      <c r="N163">
        <f t="shared" si="86"/>
        <v>3.4254545454545453</v>
      </c>
      <c r="O163">
        <v>0</v>
      </c>
      <c r="P163">
        <v>0.85</v>
      </c>
      <c r="Q163">
        <v>2.2200000000000002</v>
      </c>
      <c r="R163">
        <f t="shared" si="87"/>
        <v>2.887</v>
      </c>
      <c r="S163">
        <v>1.05</v>
      </c>
      <c r="T163">
        <v>1</v>
      </c>
      <c r="U163">
        <f t="shared" si="88"/>
        <v>112426.72710856037</v>
      </c>
      <c r="V163" s="7"/>
    </row>
    <row r="164" spans="1:22" x14ac:dyDescent="0.3">
      <c r="A164" s="6"/>
      <c r="F164" s="6"/>
      <c r="V164" s="7"/>
    </row>
    <row r="165" spans="1:22" x14ac:dyDescent="0.3">
      <c r="A165" s="6"/>
      <c r="F165" s="6"/>
      <c r="V165" s="7"/>
    </row>
    <row r="166" spans="1:22" x14ac:dyDescent="0.3">
      <c r="A166" s="6"/>
      <c r="F166" s="6"/>
      <c r="G166" t="s">
        <v>1</v>
      </c>
      <c r="H166" t="s">
        <v>5</v>
      </c>
      <c r="I166" t="s">
        <v>7</v>
      </c>
      <c r="J166" t="s">
        <v>7</v>
      </c>
      <c r="K166" t="s">
        <v>8</v>
      </c>
      <c r="L166" t="s">
        <v>22</v>
      </c>
      <c r="M166" t="s">
        <v>0</v>
      </c>
      <c r="N166" t="s">
        <v>11</v>
      </c>
      <c r="O166" t="s">
        <v>12</v>
      </c>
      <c r="P166" t="s">
        <v>13</v>
      </c>
      <c r="Q166" t="s">
        <v>15</v>
      </c>
      <c r="R166" t="s">
        <v>23</v>
      </c>
      <c r="S166" t="s">
        <v>24</v>
      </c>
      <c r="T166" t="s">
        <v>16</v>
      </c>
      <c r="V166" s="7"/>
    </row>
    <row r="167" spans="1:22" x14ac:dyDescent="0.3">
      <c r="A167" s="6"/>
      <c r="F167" s="6"/>
      <c r="G167">
        <f>G152</f>
        <v>4317</v>
      </c>
      <c r="H167">
        <v>0.85</v>
      </c>
      <c r="I167">
        <v>1</v>
      </c>
      <c r="J167">
        <v>1</v>
      </c>
      <c r="K167">
        <f>G167*H167*I167*J167</f>
        <v>3669.45</v>
      </c>
      <c r="L167">
        <v>1</v>
      </c>
      <c r="M167">
        <v>0.85</v>
      </c>
      <c r="N167">
        <v>2.2200000000000002</v>
      </c>
      <c r="O167">
        <f>1+M167*N167</f>
        <v>2.887</v>
      </c>
      <c r="P167">
        <v>1.25</v>
      </c>
      <c r="Q167">
        <f>K167*L167*O167*P167</f>
        <v>13242.127687499999</v>
      </c>
      <c r="R167">
        <v>9</v>
      </c>
      <c r="S167">
        <f>Q167*R167</f>
        <v>119179.14918749999</v>
      </c>
      <c r="T167">
        <f>SUM(S167:S173)</f>
        <v>425947.36502569501</v>
      </c>
      <c r="V167" s="7"/>
    </row>
    <row r="168" spans="1:22" x14ac:dyDescent="0.3">
      <c r="A168" s="6"/>
      <c r="F168" s="6"/>
      <c r="G168">
        <f>G155</f>
        <v>4317</v>
      </c>
      <c r="H168">
        <v>0.58320000000000005</v>
      </c>
      <c r="I168">
        <v>1</v>
      </c>
      <c r="J168">
        <v>1</v>
      </c>
      <c r="K168">
        <f t="shared" ref="K168:K169" si="90">G168*H168*I168*J168</f>
        <v>2517.6744000000003</v>
      </c>
      <c r="L168">
        <v>1</v>
      </c>
      <c r="M168">
        <v>0.85</v>
      </c>
      <c r="N168">
        <v>2.2200000000000002</v>
      </c>
      <c r="O168">
        <f t="shared" ref="O168:O169" si="91">1+M168*N168</f>
        <v>2.887</v>
      </c>
      <c r="P168">
        <v>1.25</v>
      </c>
      <c r="Q168">
        <f t="shared" ref="Q168:Q169" si="92">K168*L168*O168*P168</f>
        <v>9085.6574910000018</v>
      </c>
      <c r="R168">
        <v>1</v>
      </c>
      <c r="S168">
        <f t="shared" ref="S168:S169" si="93">Q168*R168</f>
        <v>9085.6574910000018</v>
      </c>
      <c r="V168" s="7"/>
    </row>
    <row r="169" spans="1:22" x14ac:dyDescent="0.3">
      <c r="A169" s="6"/>
      <c r="F169" s="6"/>
      <c r="G169">
        <f>G155</f>
        <v>4317</v>
      </c>
      <c r="H169">
        <v>1.5879000000000001</v>
      </c>
      <c r="I169">
        <v>3</v>
      </c>
      <c r="J169">
        <v>1</v>
      </c>
      <c r="K169">
        <f t="shared" si="90"/>
        <v>20564.892900000003</v>
      </c>
      <c r="L169">
        <v>1</v>
      </c>
      <c r="M169">
        <v>0.85</v>
      </c>
      <c r="N169">
        <v>2.2200000000000002</v>
      </c>
      <c r="O169">
        <f t="shared" si="91"/>
        <v>2.887</v>
      </c>
      <c r="P169">
        <v>1.25</v>
      </c>
      <c r="Q169">
        <f t="shared" si="92"/>
        <v>74213.557252875005</v>
      </c>
      <c r="R169">
        <v>1</v>
      </c>
      <c r="S169">
        <f t="shared" si="93"/>
        <v>74213.557252875005</v>
      </c>
      <c r="V169" s="7"/>
    </row>
    <row r="170" spans="1:22" x14ac:dyDescent="0.3">
      <c r="A170" s="6"/>
      <c r="F170" s="6"/>
      <c r="G170">
        <f>G156</f>
        <v>4317</v>
      </c>
      <c r="H170">
        <v>0.85</v>
      </c>
      <c r="I170">
        <v>1</v>
      </c>
      <c r="J170">
        <v>1</v>
      </c>
      <c r="K170">
        <f>G170*H170*I170*J170</f>
        <v>3669.45</v>
      </c>
      <c r="L170">
        <v>1</v>
      </c>
      <c r="M170">
        <v>0.85</v>
      </c>
      <c r="N170">
        <v>2.2200000000000002</v>
      </c>
      <c r="O170">
        <f>1+M170*N170</f>
        <v>2.887</v>
      </c>
      <c r="P170">
        <v>1.25</v>
      </c>
      <c r="Q170">
        <f>K170*L170*O170*P170</f>
        <v>13242.127687499999</v>
      </c>
      <c r="R170">
        <v>9</v>
      </c>
      <c r="S170">
        <f>Q170*R170</f>
        <v>119179.14918749999</v>
      </c>
      <c r="V170" s="7"/>
    </row>
    <row r="171" spans="1:22" x14ac:dyDescent="0.3">
      <c r="A171" s="6"/>
      <c r="F171" s="6"/>
      <c r="G171">
        <f>G159</f>
        <v>4317</v>
      </c>
      <c r="H171">
        <v>0.58320000000000005</v>
      </c>
      <c r="I171">
        <v>1</v>
      </c>
      <c r="J171">
        <v>1</v>
      </c>
      <c r="K171">
        <f t="shared" ref="K171" si="94">G171*H171*I171*J171</f>
        <v>2517.6744000000003</v>
      </c>
      <c r="L171">
        <v>1</v>
      </c>
      <c r="M171">
        <v>0.85</v>
      </c>
      <c r="N171">
        <v>2.2200000000000002</v>
      </c>
      <c r="O171">
        <f t="shared" ref="O171" si="95">1+M171*N171</f>
        <v>2.887</v>
      </c>
      <c r="P171">
        <v>1.25</v>
      </c>
      <c r="Q171">
        <f t="shared" ref="Q171" si="96">K171*L171*O171*P171</f>
        <v>9085.6574910000018</v>
      </c>
      <c r="R171">
        <v>1</v>
      </c>
      <c r="S171">
        <f t="shared" ref="S171" si="97">Q171*R171</f>
        <v>9085.6574910000018</v>
      </c>
      <c r="V171" s="7"/>
    </row>
    <row r="172" spans="1:22" x14ac:dyDescent="0.3">
      <c r="A172" s="6"/>
      <c r="F172" s="6"/>
      <c r="G172">
        <f>$G161</f>
        <v>3829</v>
      </c>
      <c r="H172">
        <v>0.85</v>
      </c>
      <c r="I172">
        <v>1</v>
      </c>
      <c r="J172">
        <v>1</v>
      </c>
      <c r="K172">
        <f>G172*H172*I172*J172</f>
        <v>3254.65</v>
      </c>
      <c r="L172">
        <v>1</v>
      </c>
      <c r="M172">
        <v>0.85</v>
      </c>
      <c r="N172">
        <v>2.2200000000000002</v>
      </c>
      <c r="O172">
        <f>1+M172*N172</f>
        <v>2.887</v>
      </c>
      <c r="P172">
        <v>1.05</v>
      </c>
      <c r="Q172">
        <f>K172*L172*O172*P172</f>
        <v>9865.9832774999995</v>
      </c>
      <c r="R172">
        <v>9</v>
      </c>
      <c r="S172">
        <f>Q172*R172</f>
        <v>88793.849497499992</v>
      </c>
      <c r="V172" s="7"/>
    </row>
    <row r="173" spans="1:22" ht="14.5" thickBot="1" x14ac:dyDescent="0.35">
      <c r="A173" s="6"/>
      <c r="F173" s="8"/>
      <c r="G173" s="9">
        <f>G163</f>
        <v>3626</v>
      </c>
      <c r="H173" s="9">
        <v>0.58320000000000005</v>
      </c>
      <c r="I173" s="9">
        <v>1</v>
      </c>
      <c r="J173" s="9">
        <v>1</v>
      </c>
      <c r="K173" s="9">
        <f t="shared" ref="K173" si="98">G173*H173*I173*J173</f>
        <v>2114.6832000000004</v>
      </c>
      <c r="L173" s="9">
        <v>1</v>
      </c>
      <c r="M173" s="9">
        <v>0.85</v>
      </c>
      <c r="N173" s="9">
        <v>2.2200000000000002</v>
      </c>
      <c r="O173" s="9">
        <f t="shared" ref="O173" si="99">1+M173*N173</f>
        <v>2.887</v>
      </c>
      <c r="P173">
        <v>1.05</v>
      </c>
      <c r="Q173" s="9">
        <f t="shared" ref="Q173" si="100">K173*L173*O173*P173</f>
        <v>6410.3449183200019</v>
      </c>
      <c r="R173" s="9">
        <v>1</v>
      </c>
      <c r="S173" s="9">
        <f t="shared" ref="S173" si="101">Q173*R173</f>
        <v>6410.3449183200019</v>
      </c>
      <c r="T173" s="9"/>
      <c r="U173" s="9"/>
      <c r="V173" s="10"/>
    </row>
    <row r="174" spans="1:22" ht="14.5" thickBot="1" x14ac:dyDescent="0.35">
      <c r="A174" s="6"/>
      <c r="V174" s="7"/>
    </row>
    <row r="175" spans="1:22" x14ac:dyDescent="0.3">
      <c r="A175" s="6"/>
      <c r="F175" s="19" t="s">
        <v>3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1"/>
    </row>
    <row r="176" spans="1:22" x14ac:dyDescent="0.3">
      <c r="A176" s="6"/>
      <c r="F176" s="6" t="s">
        <v>4</v>
      </c>
      <c r="G176" t="s">
        <v>1</v>
      </c>
      <c r="H176" t="s">
        <v>5</v>
      </c>
      <c r="I176" t="s">
        <v>6</v>
      </c>
      <c r="J176" t="s">
        <v>7</v>
      </c>
      <c r="K176" t="s">
        <v>8</v>
      </c>
      <c r="L176" t="s">
        <v>2</v>
      </c>
      <c r="M176" t="s">
        <v>18</v>
      </c>
      <c r="N176" t="s">
        <v>9</v>
      </c>
      <c r="O176" t="s">
        <v>10</v>
      </c>
      <c r="P176" t="s">
        <v>0</v>
      </c>
      <c r="Q176" t="s">
        <v>11</v>
      </c>
      <c r="R176" t="s">
        <v>12</v>
      </c>
      <c r="S176" t="s">
        <v>13</v>
      </c>
      <c r="T176" t="s">
        <v>14</v>
      </c>
      <c r="U176" t="s">
        <v>15</v>
      </c>
      <c r="V176" s="7" t="s">
        <v>16</v>
      </c>
    </row>
    <row r="177" spans="1:22" x14ac:dyDescent="0.3">
      <c r="A177" s="6"/>
      <c r="F177" s="6" t="s">
        <v>32</v>
      </c>
      <c r="G177">
        <f>2604+396</f>
        <v>3000</v>
      </c>
      <c r="H177">
        <v>8.2554999999999996</v>
      </c>
      <c r="I177">
        <v>1.28</v>
      </c>
      <c r="J177">
        <v>1.3</v>
      </c>
      <c r="K177">
        <f>G177*H177*I177*J177</f>
        <v>41211.455999999998</v>
      </c>
      <c r="L177">
        <v>20</v>
      </c>
      <c r="M177">
        <v>1.4</v>
      </c>
      <c r="N177">
        <f>1+6*L177/(L177+2000)+M177</f>
        <v>2.4594059405940594</v>
      </c>
      <c r="O177">
        <v>0</v>
      </c>
      <c r="P177">
        <v>0.93</v>
      </c>
      <c r="Q177">
        <v>2.2999999999999998</v>
      </c>
      <c r="R177">
        <f>1+P177*Q177</f>
        <v>3.1389999999999998</v>
      </c>
      <c r="S177">
        <v>1.05</v>
      </c>
      <c r="T177">
        <v>1</v>
      </c>
      <c r="U177">
        <f>(K177*N177+O177)*R177*S177*T177</f>
        <v>334063.31844905816</v>
      </c>
      <c r="V177" s="7">
        <f>SUM(U177:U187)</f>
        <v>760748.79091882496</v>
      </c>
    </row>
    <row r="178" spans="1:22" x14ac:dyDescent="0.3">
      <c r="A178" s="6"/>
      <c r="F178" s="6"/>
      <c r="G178">
        <f>2604+396</f>
        <v>3000</v>
      </c>
      <c r="H178">
        <v>4.5</v>
      </c>
      <c r="I178">
        <v>1.28</v>
      </c>
      <c r="J178">
        <v>1.3</v>
      </c>
      <c r="K178">
        <f>G178*H178*I178*J178</f>
        <v>22464</v>
      </c>
      <c r="L178">
        <v>20</v>
      </c>
      <c r="M178">
        <v>1.4</v>
      </c>
      <c r="N178">
        <f>1+6*L178/(L178+2000)+M178</f>
        <v>2.4594059405940594</v>
      </c>
      <c r="O178">
        <v>0</v>
      </c>
      <c r="P178">
        <v>0.93</v>
      </c>
      <c r="Q178">
        <v>2.2999999999999998</v>
      </c>
      <c r="R178">
        <f>1+P178*Q178</f>
        <v>3.1389999999999998</v>
      </c>
      <c r="S178">
        <v>1.05</v>
      </c>
      <c r="T178">
        <v>1</v>
      </c>
      <c r="U178">
        <f t="shared" ref="U178:U179" si="102">(K178*N178+O178)*R178*S178*T178</f>
        <v>182094.95887841581</v>
      </c>
      <c r="V178" s="7"/>
    </row>
    <row r="179" spans="1:22" x14ac:dyDescent="0.3">
      <c r="A179" s="6"/>
      <c r="F179" s="6" t="s">
        <v>33</v>
      </c>
      <c r="G179">
        <f>189+2604+264</f>
        <v>3057</v>
      </c>
      <c r="H179">
        <v>0.72950000000000004</v>
      </c>
      <c r="I179">
        <v>1.28</v>
      </c>
      <c r="J179">
        <v>1.3</v>
      </c>
      <c r="K179">
        <f t="shared" ref="K179:K187" si="103">G179*H179*I179*J179</f>
        <v>3710.8556160000007</v>
      </c>
      <c r="L179">
        <v>20</v>
      </c>
      <c r="M179">
        <v>1.6</v>
      </c>
      <c r="N179">
        <f t="shared" ref="N179:N187" si="104">1+6*L179/(L179+2000)+M179</f>
        <v>2.6594059405940595</v>
      </c>
      <c r="O179">
        <v>0</v>
      </c>
      <c r="P179">
        <v>0.93</v>
      </c>
      <c r="Q179">
        <v>2.2999999999999998</v>
      </c>
      <c r="R179">
        <f t="shared" ref="R179:R187" si="105">1+P179*Q179</f>
        <v>3.1389999999999998</v>
      </c>
      <c r="S179">
        <v>1.05</v>
      </c>
      <c r="T179">
        <v>1</v>
      </c>
      <c r="U179">
        <f t="shared" si="102"/>
        <v>32526.647731141857</v>
      </c>
      <c r="V179" s="7"/>
    </row>
    <row r="180" spans="1:22" x14ac:dyDescent="0.3">
      <c r="A180" s="6"/>
      <c r="F180" s="6" t="s">
        <v>34</v>
      </c>
      <c r="G180">
        <f t="shared" ref="G180:G186" si="106">189+2604</f>
        <v>2793</v>
      </c>
      <c r="H180">
        <v>0.87239999999999995</v>
      </c>
      <c r="I180">
        <v>1.28</v>
      </c>
      <c r="J180">
        <f t="shared" ref="J180:J186" si="107">17*0.015+1</f>
        <v>1.2549999999999999</v>
      </c>
      <c r="K180">
        <f t="shared" si="103"/>
        <v>3914.175444479999</v>
      </c>
      <c r="L180">
        <v>20</v>
      </c>
      <c r="M180">
        <v>1</v>
      </c>
      <c r="N180">
        <f t="shared" si="104"/>
        <v>2.0594059405940595</v>
      </c>
      <c r="O180">
        <v>0</v>
      </c>
      <c r="P180">
        <v>0.93</v>
      </c>
      <c r="Q180">
        <v>2.2999999999999998</v>
      </c>
      <c r="R180">
        <f t="shared" si="105"/>
        <v>3.1389999999999998</v>
      </c>
      <c r="S180">
        <v>1.25</v>
      </c>
      <c r="T180">
        <v>1</v>
      </c>
      <c r="U180">
        <f t="shared" ref="U180:U187" si="108">(K180*N180+O180)*R180*S180*T180</f>
        <v>31628.862844137686</v>
      </c>
      <c r="V180" s="7"/>
    </row>
    <row r="181" spans="1:22" x14ac:dyDescent="0.3">
      <c r="A181" s="6"/>
      <c r="F181" s="6" t="s">
        <v>35</v>
      </c>
      <c r="G181">
        <f t="shared" si="106"/>
        <v>2793</v>
      </c>
      <c r="H181">
        <v>0.72950000000000004</v>
      </c>
      <c r="I181">
        <v>1.28</v>
      </c>
      <c r="J181">
        <f t="shared" si="107"/>
        <v>1.2549999999999999</v>
      </c>
      <c r="K181">
        <f t="shared" si="103"/>
        <v>3273.0295584</v>
      </c>
      <c r="L181">
        <v>20</v>
      </c>
      <c r="M181">
        <v>1</v>
      </c>
      <c r="N181">
        <f t="shared" si="104"/>
        <v>2.0594059405940595</v>
      </c>
      <c r="O181">
        <v>0</v>
      </c>
      <c r="P181">
        <v>0.93</v>
      </c>
      <c r="Q181">
        <v>2.2999999999999998</v>
      </c>
      <c r="R181">
        <f t="shared" si="105"/>
        <v>3.1389999999999998</v>
      </c>
      <c r="S181">
        <v>1.25</v>
      </c>
      <c r="T181">
        <v>1</v>
      </c>
      <c r="U181">
        <f t="shared" si="108"/>
        <v>26448.023205867088</v>
      </c>
      <c r="V181" s="7"/>
    </row>
    <row r="182" spans="1:22" x14ac:dyDescent="0.3">
      <c r="A182" s="6"/>
      <c r="F182" s="6" t="s">
        <v>36</v>
      </c>
      <c r="G182">
        <f t="shared" si="106"/>
        <v>2793</v>
      </c>
      <c r="H182">
        <v>0.87239999999999995</v>
      </c>
      <c r="I182">
        <v>1.28</v>
      </c>
      <c r="J182">
        <f t="shared" si="107"/>
        <v>1.2549999999999999</v>
      </c>
      <c r="K182">
        <f t="shared" si="103"/>
        <v>3914.175444479999</v>
      </c>
      <c r="L182">
        <v>20</v>
      </c>
      <c r="M182">
        <v>1</v>
      </c>
      <c r="N182">
        <f t="shared" si="104"/>
        <v>2.0594059405940595</v>
      </c>
      <c r="O182">
        <v>0</v>
      </c>
      <c r="P182">
        <v>0.93</v>
      </c>
      <c r="Q182">
        <v>2.2999999999999998</v>
      </c>
      <c r="R182">
        <f t="shared" si="105"/>
        <v>3.1389999999999998</v>
      </c>
      <c r="S182">
        <v>1.25</v>
      </c>
      <c r="T182">
        <v>1</v>
      </c>
      <c r="U182">
        <f t="shared" si="108"/>
        <v>31628.862844137686</v>
      </c>
      <c r="V182" s="7"/>
    </row>
    <row r="183" spans="1:22" x14ac:dyDescent="0.3">
      <c r="A183" s="6"/>
      <c r="F183" s="6" t="s">
        <v>37</v>
      </c>
      <c r="G183">
        <f t="shared" si="106"/>
        <v>2793</v>
      </c>
      <c r="H183">
        <v>0.72950000000000004</v>
      </c>
      <c r="I183">
        <v>1.28</v>
      </c>
      <c r="J183">
        <f t="shared" si="107"/>
        <v>1.2549999999999999</v>
      </c>
      <c r="K183">
        <f t="shared" si="103"/>
        <v>3273.0295584</v>
      </c>
      <c r="L183">
        <v>20</v>
      </c>
      <c r="M183">
        <v>1</v>
      </c>
      <c r="N183">
        <f t="shared" si="104"/>
        <v>2.0594059405940595</v>
      </c>
      <c r="O183">
        <v>0</v>
      </c>
      <c r="P183">
        <v>0.93</v>
      </c>
      <c r="Q183">
        <v>2.2999999999999998</v>
      </c>
      <c r="R183">
        <f t="shared" si="105"/>
        <v>3.1389999999999998</v>
      </c>
      <c r="S183">
        <v>1.25</v>
      </c>
      <c r="T183">
        <v>1</v>
      </c>
      <c r="U183">
        <f t="shared" si="108"/>
        <v>26448.023205867088</v>
      </c>
      <c r="V183" s="7"/>
    </row>
    <row r="184" spans="1:22" x14ac:dyDescent="0.3">
      <c r="A184" s="6"/>
      <c r="F184" s="6" t="s">
        <v>38</v>
      </c>
      <c r="G184">
        <f t="shared" si="106"/>
        <v>2793</v>
      </c>
      <c r="H184">
        <v>0.87239999999999995</v>
      </c>
      <c r="I184">
        <v>1.28</v>
      </c>
      <c r="J184">
        <f t="shared" si="107"/>
        <v>1.2549999999999999</v>
      </c>
      <c r="K184">
        <f t="shared" si="103"/>
        <v>3914.175444479999</v>
      </c>
      <c r="L184">
        <v>20</v>
      </c>
      <c r="M184">
        <v>1</v>
      </c>
      <c r="N184">
        <f t="shared" si="104"/>
        <v>2.0594059405940595</v>
      </c>
      <c r="O184">
        <v>0</v>
      </c>
      <c r="P184">
        <v>0.93</v>
      </c>
      <c r="Q184">
        <v>2.2999999999999998</v>
      </c>
      <c r="R184">
        <f t="shared" si="105"/>
        <v>3.1389999999999998</v>
      </c>
      <c r="S184">
        <v>1.25</v>
      </c>
      <c r="T184">
        <v>1</v>
      </c>
      <c r="U184">
        <f t="shared" si="108"/>
        <v>31628.862844137686</v>
      </c>
      <c r="V184" s="7"/>
    </row>
    <row r="185" spans="1:22" x14ac:dyDescent="0.3">
      <c r="A185" s="6"/>
      <c r="F185" s="6" t="s">
        <v>39</v>
      </c>
      <c r="G185">
        <f t="shared" si="106"/>
        <v>2793</v>
      </c>
      <c r="H185">
        <v>0.72950000000000004</v>
      </c>
      <c r="I185">
        <v>1.28</v>
      </c>
      <c r="J185">
        <f t="shared" si="107"/>
        <v>1.2549999999999999</v>
      </c>
      <c r="K185">
        <f t="shared" si="103"/>
        <v>3273.0295584</v>
      </c>
      <c r="L185">
        <v>20</v>
      </c>
      <c r="M185">
        <v>1</v>
      </c>
      <c r="N185">
        <f t="shared" si="104"/>
        <v>2.0594059405940595</v>
      </c>
      <c r="O185">
        <v>0</v>
      </c>
      <c r="P185">
        <v>0.93</v>
      </c>
      <c r="Q185">
        <v>2.2999999999999998</v>
      </c>
      <c r="R185">
        <f t="shared" si="105"/>
        <v>3.1389999999999998</v>
      </c>
      <c r="S185">
        <v>1.05</v>
      </c>
      <c r="T185">
        <v>1</v>
      </c>
      <c r="U185">
        <f t="shared" si="108"/>
        <v>22216.339492928357</v>
      </c>
      <c r="V185" s="7"/>
    </row>
    <row r="186" spans="1:22" x14ac:dyDescent="0.3">
      <c r="A186" s="6"/>
      <c r="F186" s="6" t="s">
        <v>40</v>
      </c>
      <c r="G186">
        <f t="shared" si="106"/>
        <v>2793</v>
      </c>
      <c r="H186">
        <v>0.87239999999999995</v>
      </c>
      <c r="I186">
        <v>1.28</v>
      </c>
      <c r="J186">
        <f t="shared" si="107"/>
        <v>1.2549999999999999</v>
      </c>
      <c r="K186">
        <f t="shared" si="103"/>
        <v>3914.175444479999</v>
      </c>
      <c r="L186">
        <v>20</v>
      </c>
      <c r="M186">
        <v>1</v>
      </c>
      <c r="N186">
        <f t="shared" si="104"/>
        <v>2.0594059405940595</v>
      </c>
      <c r="O186">
        <v>0</v>
      </c>
      <c r="P186">
        <v>0.93</v>
      </c>
      <c r="Q186">
        <v>2.2999999999999998</v>
      </c>
      <c r="R186">
        <f t="shared" si="105"/>
        <v>3.1389999999999998</v>
      </c>
      <c r="S186">
        <v>1.05</v>
      </c>
      <c r="T186">
        <v>1</v>
      </c>
      <c r="U186">
        <f t="shared" si="108"/>
        <v>26568.244789075656</v>
      </c>
      <c r="V186" s="7"/>
    </row>
    <row r="187" spans="1:22" x14ac:dyDescent="0.3">
      <c r="A187" s="6"/>
      <c r="F187" s="6" t="s">
        <v>41</v>
      </c>
      <c r="G187">
        <v>2604</v>
      </c>
      <c r="H187">
        <v>0.72950000000000004</v>
      </c>
      <c r="I187">
        <v>1.28</v>
      </c>
      <c r="J187">
        <v>1.24</v>
      </c>
      <c r="K187">
        <f t="shared" si="103"/>
        <v>3015.0736896000003</v>
      </c>
      <c r="L187">
        <v>20</v>
      </c>
      <c r="M187">
        <v>0.5</v>
      </c>
      <c r="N187">
        <f t="shared" si="104"/>
        <v>1.5594059405940595</v>
      </c>
      <c r="O187">
        <v>0</v>
      </c>
      <c r="P187">
        <v>0.93</v>
      </c>
      <c r="Q187">
        <v>2.2999999999999998</v>
      </c>
      <c r="R187">
        <f t="shared" si="105"/>
        <v>3.1389999999999998</v>
      </c>
      <c r="S187">
        <v>1.05</v>
      </c>
      <c r="T187">
        <v>1</v>
      </c>
      <c r="U187">
        <f t="shared" si="108"/>
        <v>15496.646634057888</v>
      </c>
      <c r="V187" s="7"/>
    </row>
    <row r="188" spans="1:22" x14ac:dyDescent="0.3">
      <c r="A188" s="6"/>
      <c r="F188" s="6"/>
      <c r="V188" s="7"/>
    </row>
    <row r="189" spans="1:22" x14ac:dyDescent="0.3">
      <c r="A189" s="6"/>
      <c r="F189" s="6"/>
      <c r="G189" t="s">
        <v>1</v>
      </c>
      <c r="H189" t="s">
        <v>5</v>
      </c>
      <c r="I189" t="s">
        <v>7</v>
      </c>
      <c r="J189" t="s">
        <v>7</v>
      </c>
      <c r="K189" t="s">
        <v>8</v>
      </c>
      <c r="L189" t="s">
        <v>22</v>
      </c>
      <c r="M189" t="s">
        <v>0</v>
      </c>
      <c r="N189" t="s">
        <v>11</v>
      </c>
      <c r="O189" t="s">
        <v>12</v>
      </c>
      <c r="P189" t="s">
        <v>13</v>
      </c>
      <c r="Q189" t="s">
        <v>15</v>
      </c>
      <c r="R189" t="s">
        <v>23</v>
      </c>
      <c r="S189" t="s">
        <v>24</v>
      </c>
      <c r="T189" t="s">
        <v>16</v>
      </c>
      <c r="V189" s="7"/>
    </row>
    <row r="190" spans="1:22" x14ac:dyDescent="0.3">
      <c r="A190" s="6"/>
      <c r="F190" s="6"/>
      <c r="G190">
        <f>G177</f>
        <v>3000</v>
      </c>
      <c r="H190">
        <v>1.9454</v>
      </c>
      <c r="I190">
        <v>1</v>
      </c>
      <c r="J190">
        <v>1</v>
      </c>
      <c r="K190">
        <f>G190*H190*I190*J190</f>
        <v>5836.2</v>
      </c>
      <c r="L190">
        <v>1</v>
      </c>
      <c r="M190">
        <v>0.93</v>
      </c>
      <c r="N190">
        <v>2.2999999999999998</v>
      </c>
      <c r="O190">
        <f>1+M190*N190</f>
        <v>3.1389999999999998</v>
      </c>
      <c r="P190">
        <v>1.05</v>
      </c>
      <c r="Q190">
        <f>K190*L190*O190*P190</f>
        <v>19235.823390000001</v>
      </c>
      <c r="R190">
        <v>1</v>
      </c>
      <c r="S190">
        <f>Q190*R190</f>
        <v>19235.823390000001</v>
      </c>
      <c r="T190">
        <f>SUM(S190:S191)</f>
        <v>162160.86755326501</v>
      </c>
      <c r="V190" s="7"/>
    </row>
    <row r="191" spans="1:22" ht="14.5" thickBot="1" x14ac:dyDescent="0.35">
      <c r="A191" s="6"/>
      <c r="F191" s="8"/>
      <c r="G191" s="9">
        <f>G182</f>
        <v>2793</v>
      </c>
      <c r="H191" s="9">
        <v>1.7251000000000001</v>
      </c>
      <c r="I191" s="9">
        <v>1</v>
      </c>
      <c r="J191" s="9">
        <v>1</v>
      </c>
      <c r="K191" s="9">
        <f>G191*H191*I191*J191</f>
        <v>4818.2043000000003</v>
      </c>
      <c r="L191" s="9">
        <v>1</v>
      </c>
      <c r="M191" s="9">
        <v>0.93</v>
      </c>
      <c r="N191" s="9">
        <v>2.2999999999999998</v>
      </c>
      <c r="O191" s="9">
        <f>1+M191*N191</f>
        <v>3.1389999999999998</v>
      </c>
      <c r="P191" s="9">
        <v>1.05</v>
      </c>
      <c r="Q191" s="9">
        <f>K191*L191*O191*P191</f>
        <v>15880.560462584999</v>
      </c>
      <c r="R191" s="9">
        <v>9</v>
      </c>
      <c r="S191" s="9">
        <f>Q191*R191</f>
        <v>142925.044163265</v>
      </c>
      <c r="T191" s="9"/>
      <c r="U191" s="9"/>
      <c r="V191" s="10"/>
    </row>
    <row r="192" spans="1:22" x14ac:dyDescent="0.3">
      <c r="A192" s="6"/>
      <c r="V192" s="7"/>
    </row>
    <row r="193" spans="1:22" ht="14.5" thickBot="1" x14ac:dyDescent="0.35">
      <c r="A193" s="6"/>
      <c r="F193" s="22" t="s">
        <v>53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7"/>
    </row>
    <row r="194" spans="1:22" x14ac:dyDescent="0.3">
      <c r="A194" s="6"/>
      <c r="F194" s="3"/>
      <c r="G194" s="4" t="s">
        <v>42</v>
      </c>
      <c r="H194" s="4" t="s">
        <v>43</v>
      </c>
      <c r="I194" s="4" t="s">
        <v>6</v>
      </c>
      <c r="J194" s="4" t="s">
        <v>2</v>
      </c>
      <c r="K194" s="4" t="s">
        <v>18</v>
      </c>
      <c r="L194" s="4" t="s">
        <v>9</v>
      </c>
      <c r="M194" s="4" t="s">
        <v>0</v>
      </c>
      <c r="N194" s="4" t="s">
        <v>11</v>
      </c>
      <c r="O194" s="4" t="s">
        <v>12</v>
      </c>
      <c r="P194" s="4" t="s">
        <v>13</v>
      </c>
      <c r="Q194" s="4" t="s">
        <v>14</v>
      </c>
      <c r="R194" s="4" t="s">
        <v>48</v>
      </c>
      <c r="S194" s="4" t="s">
        <v>49</v>
      </c>
      <c r="T194" s="4" t="s">
        <v>51</v>
      </c>
      <c r="U194" s="5" t="s">
        <v>16</v>
      </c>
      <c r="V194" s="7"/>
    </row>
    <row r="195" spans="1:22" x14ac:dyDescent="0.3">
      <c r="A195" s="6"/>
      <c r="F195" s="6" t="s">
        <v>44</v>
      </c>
      <c r="G195">
        <v>1446.85</v>
      </c>
      <c r="H195">
        <v>2</v>
      </c>
      <c r="I195">
        <v>1.28</v>
      </c>
      <c r="J195">
        <v>200</v>
      </c>
      <c r="K195">
        <v>2.38</v>
      </c>
      <c r="L195">
        <f>1+6*J195/(J195+2000)+K195</f>
        <v>3.9254545454545453</v>
      </c>
      <c r="M195">
        <v>0.85</v>
      </c>
      <c r="N195">
        <v>2.2200000000000002</v>
      </c>
      <c r="O195">
        <f>1+M195*N195</f>
        <v>2.887</v>
      </c>
      <c r="P195">
        <v>1.25</v>
      </c>
      <c r="Q195">
        <v>1</v>
      </c>
      <c r="R195">
        <v>0.6</v>
      </c>
      <c r="S195">
        <f>G195*H195*I195*L195*O195*P195*Q195*R195</f>
        <v>31481.939069847271</v>
      </c>
      <c r="T195">
        <v>2</v>
      </c>
      <c r="U195" s="7">
        <f>T197*T195</f>
        <v>80148.972239496521</v>
      </c>
      <c r="V195" s="7"/>
    </row>
    <row r="196" spans="1:22" x14ac:dyDescent="0.3">
      <c r="A196" s="6"/>
      <c r="F196" s="6" t="s">
        <v>45</v>
      </c>
      <c r="G196">
        <v>1446.85</v>
      </c>
      <c r="H196">
        <v>2</v>
      </c>
      <c r="I196">
        <v>1.28</v>
      </c>
      <c r="J196">
        <v>0</v>
      </c>
      <c r="K196">
        <v>1.9</v>
      </c>
      <c r="L196">
        <f t="shared" ref="L196:L198" si="109">1+6*J196/(J196+2000)+K196</f>
        <v>2.9</v>
      </c>
      <c r="M196">
        <v>0.5</v>
      </c>
      <c r="N196">
        <v>1.5</v>
      </c>
      <c r="O196">
        <f t="shared" ref="O196:O198" si="110">1+M196*N196</f>
        <v>1.75</v>
      </c>
      <c r="P196">
        <v>1.05</v>
      </c>
      <c r="Q196">
        <v>1</v>
      </c>
      <c r="R196">
        <v>0.3</v>
      </c>
      <c r="S196">
        <f t="shared" ref="S196:S198" si="111">G196*H196*I196*L196*O196*P196*Q196*R196</f>
        <v>5921.2046880000007</v>
      </c>
      <c r="T196" t="s">
        <v>15</v>
      </c>
      <c r="U196" s="7"/>
      <c r="V196" s="7"/>
    </row>
    <row r="197" spans="1:22" x14ac:dyDescent="0.3">
      <c r="A197" s="6"/>
      <c r="F197" s="6" t="s">
        <v>46</v>
      </c>
      <c r="G197">
        <v>1446.85</v>
      </c>
      <c r="H197">
        <v>2</v>
      </c>
      <c r="I197">
        <v>1.28</v>
      </c>
      <c r="J197">
        <v>20</v>
      </c>
      <c r="K197">
        <v>1</v>
      </c>
      <c r="L197">
        <f t="shared" si="109"/>
        <v>2.0594059405940595</v>
      </c>
      <c r="M197">
        <v>0.93</v>
      </c>
      <c r="N197">
        <v>2.2999999999999998</v>
      </c>
      <c r="O197">
        <f t="shared" si="110"/>
        <v>3.1389999999999998</v>
      </c>
      <c r="P197">
        <v>1.25</v>
      </c>
      <c r="Q197">
        <v>1</v>
      </c>
      <c r="R197">
        <v>0.05</v>
      </c>
      <c r="S197">
        <f t="shared" si="111"/>
        <v>1496.50016190099</v>
      </c>
      <c r="T197">
        <f>SUM(S195:S198)</f>
        <v>40074.486119748261</v>
      </c>
      <c r="U197" s="7"/>
      <c r="V197" s="7"/>
    </row>
    <row r="198" spans="1:22" x14ac:dyDescent="0.3">
      <c r="A198" s="6"/>
      <c r="F198" s="6" t="s">
        <v>47</v>
      </c>
      <c r="G198">
        <v>1446.85</v>
      </c>
      <c r="H198">
        <v>2</v>
      </c>
      <c r="I198">
        <v>1.28</v>
      </c>
      <c r="J198">
        <v>0</v>
      </c>
      <c r="K198">
        <v>1.9</v>
      </c>
      <c r="L198">
        <f t="shared" si="109"/>
        <v>2.9</v>
      </c>
      <c r="M198">
        <v>0.5</v>
      </c>
      <c r="N198">
        <v>1.5</v>
      </c>
      <c r="O198">
        <f t="shared" si="110"/>
        <v>1.75</v>
      </c>
      <c r="P198">
        <v>1.25</v>
      </c>
      <c r="Q198">
        <v>1</v>
      </c>
      <c r="R198">
        <v>0.05</v>
      </c>
      <c r="S198">
        <f t="shared" si="111"/>
        <v>1174.8422</v>
      </c>
      <c r="U198" s="7"/>
      <c r="V198" s="7"/>
    </row>
    <row r="199" spans="1:22" x14ac:dyDescent="0.3">
      <c r="A199" s="6"/>
      <c r="F199" s="6"/>
      <c r="U199" s="7"/>
      <c r="V199" s="7"/>
    </row>
    <row r="200" spans="1:22" x14ac:dyDescent="0.3">
      <c r="A200" s="6"/>
      <c r="F200" s="6"/>
      <c r="G200" t="s">
        <v>42</v>
      </c>
      <c r="H200" t="s">
        <v>43</v>
      </c>
      <c r="I200" t="s">
        <v>6</v>
      </c>
      <c r="J200" t="s">
        <v>2</v>
      </c>
      <c r="K200" t="s">
        <v>18</v>
      </c>
      <c r="L200" t="s">
        <v>9</v>
      </c>
      <c r="M200" t="s">
        <v>0</v>
      </c>
      <c r="N200" t="s">
        <v>11</v>
      </c>
      <c r="O200" t="s">
        <v>12</v>
      </c>
      <c r="P200" t="s">
        <v>13</v>
      </c>
      <c r="Q200" t="s">
        <v>14</v>
      </c>
      <c r="R200" t="s">
        <v>48</v>
      </c>
      <c r="S200" t="s">
        <v>49</v>
      </c>
      <c r="T200" t="s">
        <v>51</v>
      </c>
      <c r="U200" s="7" t="s">
        <v>16</v>
      </c>
      <c r="V200" s="7"/>
    </row>
    <row r="201" spans="1:22" x14ac:dyDescent="0.3">
      <c r="A201" s="6"/>
      <c r="F201" s="6" t="s">
        <v>44</v>
      </c>
      <c r="G201">
        <v>1446.85</v>
      </c>
      <c r="H201">
        <v>2</v>
      </c>
      <c r="I201">
        <v>1.28</v>
      </c>
      <c r="J201">
        <v>200</v>
      </c>
      <c r="K201">
        <v>2.38</v>
      </c>
      <c r="L201">
        <f>1+6*J201/(J201+2000)+K201</f>
        <v>3.9254545454545453</v>
      </c>
      <c r="M201">
        <v>0.85</v>
      </c>
      <c r="N201">
        <v>2.2200000000000002</v>
      </c>
      <c r="O201">
        <f>1+M201*N201</f>
        <v>2.887</v>
      </c>
      <c r="P201">
        <v>1.05</v>
      </c>
      <c r="Q201">
        <v>1</v>
      </c>
      <c r="R201">
        <v>0.6</v>
      </c>
      <c r="S201">
        <f>G201*H201*I201*L201*O201*P201*Q201*R201</f>
        <v>26444.828818671707</v>
      </c>
      <c r="T201">
        <v>2</v>
      </c>
      <c r="U201" s="7">
        <f>T203*T201</f>
        <v>69219.922181337082</v>
      </c>
      <c r="V201" s="7"/>
    </row>
    <row r="202" spans="1:22" x14ac:dyDescent="0.3">
      <c r="A202" s="6"/>
      <c r="F202" s="6" t="s">
        <v>45</v>
      </c>
      <c r="G202">
        <v>1446.85</v>
      </c>
      <c r="H202">
        <v>2</v>
      </c>
      <c r="I202">
        <v>1.28</v>
      </c>
      <c r="J202">
        <v>0</v>
      </c>
      <c r="K202">
        <v>1.9</v>
      </c>
      <c r="L202">
        <f t="shared" ref="L202:L204" si="112">1+6*J202/(J202+2000)+K202</f>
        <v>2.9</v>
      </c>
      <c r="M202">
        <v>0.5</v>
      </c>
      <c r="N202">
        <v>1.5</v>
      </c>
      <c r="O202">
        <f t="shared" ref="O202:O204" si="113">1+M202*N202</f>
        <v>1.75</v>
      </c>
      <c r="P202">
        <v>1.05</v>
      </c>
      <c r="Q202">
        <v>1</v>
      </c>
      <c r="R202">
        <v>0.3</v>
      </c>
      <c r="S202">
        <f t="shared" ref="S202:S204" si="114">G202*H202*I202*L202*O202*P202*Q202*R202</f>
        <v>5921.2046880000007</v>
      </c>
      <c r="T202" t="s">
        <v>15</v>
      </c>
      <c r="U202" s="7"/>
      <c r="V202" s="7"/>
    </row>
    <row r="203" spans="1:22" x14ac:dyDescent="0.3">
      <c r="A203" s="6"/>
      <c r="F203" s="6" t="s">
        <v>46</v>
      </c>
      <c r="G203">
        <v>1446.85</v>
      </c>
      <c r="H203">
        <v>2</v>
      </c>
      <c r="I203">
        <v>1.28</v>
      </c>
      <c r="J203">
        <v>20</v>
      </c>
      <c r="K203">
        <v>1</v>
      </c>
      <c r="L203">
        <f t="shared" si="112"/>
        <v>2.0594059405940595</v>
      </c>
      <c r="M203">
        <v>0.93</v>
      </c>
      <c r="N203">
        <v>2.2999999999999998</v>
      </c>
      <c r="O203">
        <f t="shared" si="113"/>
        <v>3.1389999999999998</v>
      </c>
      <c r="P203">
        <v>1.05</v>
      </c>
      <c r="Q203">
        <v>1</v>
      </c>
      <c r="R203">
        <v>0.05</v>
      </c>
      <c r="S203">
        <f t="shared" si="114"/>
        <v>1257.0601359968316</v>
      </c>
      <c r="T203">
        <f>SUM(S201:S204)</f>
        <v>34609.961090668541</v>
      </c>
      <c r="U203" s="7"/>
      <c r="V203" s="7"/>
    </row>
    <row r="204" spans="1:22" ht="14.5" thickBot="1" x14ac:dyDescent="0.35">
      <c r="A204" s="6"/>
      <c r="F204" s="8" t="s">
        <v>47</v>
      </c>
      <c r="G204" s="9">
        <v>1446.85</v>
      </c>
      <c r="H204" s="9">
        <v>2</v>
      </c>
      <c r="I204" s="9">
        <v>1.28</v>
      </c>
      <c r="J204" s="9">
        <v>0</v>
      </c>
      <c r="K204" s="9">
        <v>1.9</v>
      </c>
      <c r="L204" s="9">
        <f t="shared" si="112"/>
        <v>2.9</v>
      </c>
      <c r="M204">
        <v>0.5</v>
      </c>
      <c r="N204" s="9">
        <v>1.5</v>
      </c>
      <c r="O204" s="9">
        <f t="shared" si="113"/>
        <v>1.75</v>
      </c>
      <c r="P204">
        <v>1.05</v>
      </c>
      <c r="Q204" s="9">
        <v>1</v>
      </c>
      <c r="R204" s="9">
        <v>0.05</v>
      </c>
      <c r="S204" s="9">
        <f t="shared" si="114"/>
        <v>986.86744800000019</v>
      </c>
      <c r="T204" s="9"/>
      <c r="U204" s="10"/>
      <c r="V204" s="7"/>
    </row>
    <row r="205" spans="1:22" ht="14.5" thickBot="1" x14ac:dyDescent="0.35">
      <c r="A205" s="6"/>
      <c r="F205" s="23" t="s">
        <v>54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7"/>
    </row>
    <row r="206" spans="1:22" x14ac:dyDescent="0.3">
      <c r="A206" s="6"/>
      <c r="F206" s="3"/>
      <c r="G206" s="4" t="s">
        <v>42</v>
      </c>
      <c r="H206" s="4" t="s">
        <v>52</v>
      </c>
      <c r="I206" s="4" t="s">
        <v>6</v>
      </c>
      <c r="J206" s="4" t="s">
        <v>2</v>
      </c>
      <c r="K206" s="4" t="s">
        <v>18</v>
      </c>
      <c r="L206" s="4" t="s">
        <v>9</v>
      </c>
      <c r="M206" s="4" t="s">
        <v>0</v>
      </c>
      <c r="N206" s="4" t="s">
        <v>11</v>
      </c>
      <c r="O206" s="4" t="s">
        <v>12</v>
      </c>
      <c r="P206" s="4" t="s">
        <v>13</v>
      </c>
      <c r="Q206" s="4" t="s">
        <v>14</v>
      </c>
      <c r="R206" s="4" t="s">
        <v>48</v>
      </c>
      <c r="S206" s="4" t="s">
        <v>49</v>
      </c>
      <c r="T206" s="4" t="s">
        <v>51</v>
      </c>
      <c r="U206" s="5" t="s">
        <v>16</v>
      </c>
      <c r="V206" s="7"/>
    </row>
    <row r="207" spans="1:22" x14ac:dyDescent="0.3">
      <c r="A207" s="6"/>
      <c r="F207" s="6" t="s">
        <v>44</v>
      </c>
      <c r="G207">
        <v>1446.85</v>
      </c>
      <c r="H207">
        <v>0.75</v>
      </c>
      <c r="I207">
        <v>1.28</v>
      </c>
      <c r="J207">
        <v>0</v>
      </c>
      <c r="K207">
        <v>1.9</v>
      </c>
      <c r="L207">
        <f t="shared" ref="L207" si="115">1+6*J207/(J207+2000)+K207</f>
        <v>2.9</v>
      </c>
      <c r="M207">
        <v>0.5</v>
      </c>
      <c r="N207">
        <v>1.5</v>
      </c>
      <c r="O207">
        <f t="shared" ref="O207" si="116">1+M207*N207</f>
        <v>1.75</v>
      </c>
      <c r="P207">
        <v>1.05</v>
      </c>
      <c r="Q207">
        <v>1</v>
      </c>
      <c r="R207">
        <v>0.6</v>
      </c>
      <c r="S207">
        <f>G207*H207*I207*L207*O207*P207*Q207*R207</f>
        <v>4440.9035159999994</v>
      </c>
      <c r="T207">
        <v>4</v>
      </c>
      <c r="U207" s="7">
        <f>T209*T207</f>
        <v>45382.081909236927</v>
      </c>
      <c r="V207" s="7"/>
    </row>
    <row r="208" spans="1:22" x14ac:dyDescent="0.3">
      <c r="A208" s="6"/>
      <c r="F208" s="6" t="s">
        <v>45</v>
      </c>
      <c r="G208">
        <v>1446.85</v>
      </c>
      <c r="H208">
        <v>0.75</v>
      </c>
      <c r="I208">
        <v>1.28</v>
      </c>
      <c r="J208">
        <v>200</v>
      </c>
      <c r="K208">
        <v>2.38</v>
      </c>
      <c r="L208">
        <f>1+6*J208/(J208+2000)+K208</f>
        <v>3.9254545454545453</v>
      </c>
      <c r="M208">
        <v>0.85</v>
      </c>
      <c r="N208">
        <v>2.2200000000000002</v>
      </c>
      <c r="O208">
        <f>1+M208*N208</f>
        <v>2.887</v>
      </c>
      <c r="P208">
        <v>1.25</v>
      </c>
      <c r="Q208">
        <v>1</v>
      </c>
      <c r="R208">
        <v>0.3</v>
      </c>
      <c r="S208">
        <f t="shared" ref="S208:S210" si="117">G208*H208*I208*L208*O208*P208*Q208*R208</f>
        <v>5902.8635755963624</v>
      </c>
      <c r="T208" t="s">
        <v>15</v>
      </c>
      <c r="U208" s="7"/>
      <c r="V208" s="7"/>
    </row>
    <row r="209" spans="1:22" x14ac:dyDescent="0.3">
      <c r="A209" s="6"/>
      <c r="F209" s="6" t="s">
        <v>46</v>
      </c>
      <c r="G209">
        <v>1446.85</v>
      </c>
      <c r="H209">
        <v>0.75</v>
      </c>
      <c r="I209">
        <v>1.28</v>
      </c>
      <c r="J209">
        <v>20</v>
      </c>
      <c r="K209">
        <v>1</v>
      </c>
      <c r="L209">
        <f t="shared" ref="L209:L210" si="118">1+6*J209/(J209+2000)+K209</f>
        <v>2.0594059405940595</v>
      </c>
      <c r="M209">
        <v>0.93</v>
      </c>
      <c r="N209">
        <v>2.2999999999999998</v>
      </c>
      <c r="O209">
        <f t="shared" ref="O209:O210" si="119">1+M209*N209</f>
        <v>3.1389999999999998</v>
      </c>
      <c r="P209">
        <v>1.25</v>
      </c>
      <c r="Q209">
        <v>1</v>
      </c>
      <c r="R209">
        <v>0.05</v>
      </c>
      <c r="S209">
        <f t="shared" si="117"/>
        <v>561.18756071287123</v>
      </c>
      <c r="T209">
        <f>SUM(S207:S210)</f>
        <v>11345.520477309232</v>
      </c>
      <c r="U209" s="7"/>
      <c r="V209" s="7"/>
    </row>
    <row r="210" spans="1:22" x14ac:dyDescent="0.3">
      <c r="A210" s="6"/>
      <c r="F210" s="6" t="s">
        <v>47</v>
      </c>
      <c r="G210">
        <v>1446.85</v>
      </c>
      <c r="H210">
        <v>0.75</v>
      </c>
      <c r="I210">
        <v>1.28</v>
      </c>
      <c r="J210">
        <v>0</v>
      </c>
      <c r="K210">
        <v>1.9</v>
      </c>
      <c r="L210">
        <f t="shared" si="118"/>
        <v>2.9</v>
      </c>
      <c r="M210">
        <v>0.5</v>
      </c>
      <c r="N210">
        <v>1.5</v>
      </c>
      <c r="O210">
        <f t="shared" si="119"/>
        <v>1.75</v>
      </c>
      <c r="P210">
        <v>1.25</v>
      </c>
      <c r="Q210">
        <v>1</v>
      </c>
      <c r="R210">
        <v>0.05</v>
      </c>
      <c r="S210">
        <f t="shared" si="117"/>
        <v>440.56582499999996</v>
      </c>
      <c r="U210" s="7"/>
      <c r="V210" s="7"/>
    </row>
    <row r="211" spans="1:22" x14ac:dyDescent="0.3">
      <c r="A211" s="6"/>
      <c r="F211" s="6"/>
      <c r="U211" s="7"/>
      <c r="V211" s="7"/>
    </row>
    <row r="212" spans="1:22" x14ac:dyDescent="0.3">
      <c r="A212" s="6"/>
      <c r="F212" s="6"/>
      <c r="G212" t="s">
        <v>42</v>
      </c>
      <c r="H212" t="s">
        <v>52</v>
      </c>
      <c r="I212" t="s">
        <v>6</v>
      </c>
      <c r="J212" t="s">
        <v>2</v>
      </c>
      <c r="K212" t="s">
        <v>18</v>
      </c>
      <c r="L212" t="s">
        <v>9</v>
      </c>
      <c r="M212" t="s">
        <v>0</v>
      </c>
      <c r="N212" t="s">
        <v>11</v>
      </c>
      <c r="O212" t="s">
        <v>12</v>
      </c>
      <c r="P212" t="s">
        <v>13</v>
      </c>
      <c r="Q212" t="s">
        <v>14</v>
      </c>
      <c r="R212" t="s">
        <v>48</v>
      </c>
      <c r="S212" t="s">
        <v>49</v>
      </c>
      <c r="T212" t="s">
        <v>51</v>
      </c>
      <c r="U212" s="7" t="s">
        <v>16</v>
      </c>
      <c r="V212" s="7"/>
    </row>
    <row r="213" spans="1:22" x14ac:dyDescent="0.3">
      <c r="A213" s="6"/>
      <c r="F213" s="6" t="s">
        <v>44</v>
      </c>
      <c r="G213">
        <v>1446.85</v>
      </c>
      <c r="H213">
        <v>0.75</v>
      </c>
      <c r="I213">
        <v>1.28</v>
      </c>
      <c r="J213">
        <v>0</v>
      </c>
      <c r="K213">
        <v>1.9</v>
      </c>
      <c r="L213">
        <f t="shared" ref="L213" si="120">1+6*J213/(J213+2000)+K213</f>
        <v>2.9</v>
      </c>
      <c r="M213">
        <v>0.5</v>
      </c>
      <c r="N213">
        <v>1.5</v>
      </c>
      <c r="O213">
        <f t="shared" ref="O213" si="121">1+M213*N213</f>
        <v>1.75</v>
      </c>
      <c r="P213">
        <v>1.05</v>
      </c>
      <c r="Q213">
        <v>1</v>
      </c>
      <c r="R213">
        <v>0.6</v>
      </c>
      <c r="S213">
        <f>G213*H213*I213*L213*O213*P213*Q213*R213</f>
        <v>4440.9035159999994</v>
      </c>
      <c r="T213">
        <v>2</v>
      </c>
      <c r="U213" s="7">
        <f>T215*T213</f>
        <v>20802.124610427632</v>
      </c>
      <c r="V213" s="7"/>
    </row>
    <row r="214" spans="1:22" x14ac:dyDescent="0.3">
      <c r="A214" s="6"/>
      <c r="F214" s="6" t="s">
        <v>45</v>
      </c>
      <c r="G214">
        <v>1446.85</v>
      </c>
      <c r="H214">
        <v>0.75</v>
      </c>
      <c r="I214">
        <v>1.28</v>
      </c>
      <c r="J214">
        <v>200</v>
      </c>
      <c r="K214">
        <v>2.38</v>
      </c>
      <c r="L214">
        <f>1+6*J214/(J214+2000)+K214</f>
        <v>3.9254545454545453</v>
      </c>
      <c r="M214">
        <v>0.85</v>
      </c>
      <c r="N214">
        <v>2.2200000000000002</v>
      </c>
      <c r="O214">
        <f>1+M214*N214</f>
        <v>2.887</v>
      </c>
      <c r="P214">
        <v>1.05</v>
      </c>
      <c r="Q214">
        <v>1</v>
      </c>
      <c r="R214">
        <v>0.3</v>
      </c>
      <c r="S214">
        <f t="shared" ref="S214:S216" si="122">G214*H214*I214*L214*O214*P214*Q214*R214</f>
        <v>4958.4054035009449</v>
      </c>
      <c r="T214" t="s">
        <v>15</v>
      </c>
      <c r="U214" s="7"/>
      <c r="V214" s="7"/>
    </row>
    <row r="215" spans="1:22" x14ac:dyDescent="0.3">
      <c r="A215" s="6"/>
      <c r="F215" s="6" t="s">
        <v>46</v>
      </c>
      <c r="G215">
        <v>1446.85</v>
      </c>
      <c r="H215">
        <v>0.75</v>
      </c>
      <c r="I215">
        <v>1.28</v>
      </c>
      <c r="J215">
        <v>20</v>
      </c>
      <c r="K215">
        <v>1</v>
      </c>
      <c r="L215">
        <f t="shared" ref="L215:L216" si="123">1+6*J215/(J215+2000)+K215</f>
        <v>2.0594059405940595</v>
      </c>
      <c r="M215">
        <v>0.93</v>
      </c>
      <c r="N215">
        <v>2.2999999999999998</v>
      </c>
      <c r="O215">
        <f t="shared" ref="O215:O216" si="124">1+M215*N215</f>
        <v>3.1389999999999998</v>
      </c>
      <c r="P215">
        <v>1.25</v>
      </c>
      <c r="Q215">
        <v>1</v>
      </c>
      <c r="R215">
        <v>0.05</v>
      </c>
      <c r="S215">
        <f t="shared" si="122"/>
        <v>561.18756071287123</v>
      </c>
      <c r="T215">
        <f>SUM(S213:S216)</f>
        <v>10401.062305213816</v>
      </c>
      <c r="U215" s="7"/>
      <c r="V215" s="7"/>
    </row>
    <row r="216" spans="1:22" ht="14.5" thickBot="1" x14ac:dyDescent="0.35">
      <c r="A216" s="8"/>
      <c r="B216" s="9"/>
      <c r="C216" s="9"/>
      <c r="D216" s="9"/>
      <c r="E216" s="9"/>
      <c r="F216" s="8" t="s">
        <v>47</v>
      </c>
      <c r="G216" s="9">
        <v>1446.85</v>
      </c>
      <c r="H216" s="9">
        <v>0.75</v>
      </c>
      <c r="I216" s="9">
        <v>1.28</v>
      </c>
      <c r="J216" s="9">
        <v>0</v>
      </c>
      <c r="K216" s="9">
        <v>1.9</v>
      </c>
      <c r="L216" s="9">
        <f t="shared" si="123"/>
        <v>2.9</v>
      </c>
      <c r="M216" s="9">
        <v>0.5</v>
      </c>
      <c r="N216" s="9">
        <v>1.5</v>
      </c>
      <c r="O216" s="9">
        <f t="shared" si="124"/>
        <v>1.75</v>
      </c>
      <c r="P216" s="9">
        <v>1.25</v>
      </c>
      <c r="Q216" s="9">
        <v>1</v>
      </c>
      <c r="R216" s="9">
        <v>0.05</v>
      </c>
      <c r="S216" s="9">
        <f t="shared" si="122"/>
        <v>440.56582499999996</v>
      </c>
      <c r="T216" s="9"/>
      <c r="U216" s="10"/>
      <c r="V216" s="10"/>
    </row>
  </sheetData>
  <mergeCells count="15">
    <mergeCell ref="A1:D1"/>
    <mergeCell ref="F26:V26"/>
    <mergeCell ref="A2:A9"/>
    <mergeCell ref="F55:U55"/>
    <mergeCell ref="F43:U43"/>
    <mergeCell ref="A75:D75"/>
    <mergeCell ref="A76:A83"/>
    <mergeCell ref="F100:V100"/>
    <mergeCell ref="F118:U118"/>
    <mergeCell ref="F130:U130"/>
    <mergeCell ref="A150:D150"/>
    <mergeCell ref="A151:A158"/>
    <mergeCell ref="F175:V175"/>
    <mergeCell ref="F193:U193"/>
    <mergeCell ref="F205:U20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8D05-F613-4A63-8B94-D96D3C9CF457}">
  <dimension ref="A1:V205"/>
  <sheetViews>
    <sheetView topLeftCell="A116" zoomScale="80" zoomScaleNormal="80" workbookViewId="0">
      <selection activeCell="J176" sqref="J176"/>
    </sheetView>
  </sheetViews>
  <sheetFormatPr defaultRowHeight="14" x14ac:dyDescent="0.3"/>
  <cols>
    <col min="2" max="2" width="10.1640625" customWidth="1"/>
    <col min="6" max="6" width="3.75" customWidth="1"/>
  </cols>
  <sheetData>
    <row r="1" spans="1:22" x14ac:dyDescent="0.3">
      <c r="A1" s="15" t="s">
        <v>55</v>
      </c>
      <c r="B1" s="16"/>
      <c r="C1" s="16"/>
      <c r="D1" s="17"/>
      <c r="E1" s="4"/>
      <c r="F1" s="4" t="s">
        <v>4</v>
      </c>
      <c r="G1" s="4" t="s">
        <v>1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2</v>
      </c>
      <c r="M1" s="4" t="s">
        <v>18</v>
      </c>
      <c r="N1" s="4" t="s">
        <v>9</v>
      </c>
      <c r="O1" s="4" t="s">
        <v>10</v>
      </c>
      <c r="P1" s="4" t="s">
        <v>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5" t="s">
        <v>16</v>
      </c>
    </row>
    <row r="2" spans="1:22" x14ac:dyDescent="0.3">
      <c r="A2" s="18" t="s">
        <v>27</v>
      </c>
      <c r="B2" s="1" t="s">
        <v>25</v>
      </c>
      <c r="C2" s="1" t="s">
        <v>26</v>
      </c>
      <c r="D2" s="1" t="s">
        <v>28</v>
      </c>
      <c r="F2" t="s">
        <v>17</v>
      </c>
      <c r="G2">
        <f>3199+488+203</f>
        <v>3890</v>
      </c>
      <c r="H2">
        <v>2.4224999999999999</v>
      </c>
      <c r="I2">
        <v>1.28</v>
      </c>
      <c r="J2">
        <v>1</v>
      </c>
      <c r="K2">
        <f>G2*H2*I2*J2</f>
        <v>12062.111999999999</v>
      </c>
      <c r="L2">
        <v>200</v>
      </c>
      <c r="M2">
        <v>2.23</v>
      </c>
      <c r="N2">
        <f>1+6*L2/(L2+2000)+M2</f>
        <v>3.7754545454545454</v>
      </c>
      <c r="O2">
        <v>0</v>
      </c>
      <c r="P2">
        <v>0.85</v>
      </c>
      <c r="Q2">
        <v>2.2200000000000002</v>
      </c>
      <c r="R2">
        <f>1+P2*Q2</f>
        <v>2.887</v>
      </c>
      <c r="S2">
        <v>1.1499999999999999</v>
      </c>
      <c r="T2">
        <v>1</v>
      </c>
      <c r="U2">
        <f>(K2*N2+O2)*R2*S2*T2</f>
        <v>151194.92951734251</v>
      </c>
      <c r="V2" s="7">
        <f>SUM(U2:U16)</f>
        <v>2568777.1783463666</v>
      </c>
    </row>
    <row r="3" spans="1:22" x14ac:dyDescent="0.3">
      <c r="A3" s="18"/>
      <c r="B3" s="1">
        <f>B5+B7+B9</f>
        <v>3753903.5704195523</v>
      </c>
      <c r="C3" s="1">
        <f>B3/D3</f>
        <v>174600.16606602567</v>
      </c>
      <c r="D3" s="1">
        <v>21.5</v>
      </c>
      <c r="F3" t="s">
        <v>17</v>
      </c>
      <c r="G3">
        <f t="shared" ref="G3:G9" si="0">3199+488+203</f>
        <v>3890</v>
      </c>
      <c r="H3">
        <v>2.4224999999999999</v>
      </c>
      <c r="I3">
        <v>1.28</v>
      </c>
      <c r="J3">
        <v>1</v>
      </c>
      <c r="K3">
        <f t="shared" ref="K3:K9" si="1">G3*H3*I3*J3</f>
        <v>12062.111999999999</v>
      </c>
      <c r="L3">
        <v>200</v>
      </c>
      <c r="M3">
        <v>2.38</v>
      </c>
      <c r="N3">
        <f t="shared" ref="N3:N9" si="2">1+6*L3/(L3+2000)+M3</f>
        <v>3.9254545454545453</v>
      </c>
      <c r="O3">
        <v>0</v>
      </c>
      <c r="P3">
        <v>0.85</v>
      </c>
      <c r="Q3">
        <v>2.2200000000000002</v>
      </c>
      <c r="R3">
        <f t="shared" ref="R3:R9" si="3">1+P3*Q3</f>
        <v>2.887</v>
      </c>
      <c r="S3">
        <v>1.1499999999999999</v>
      </c>
      <c r="T3">
        <v>1</v>
      </c>
      <c r="U3">
        <f t="shared" ref="U3:U9" si="4">(K3*N3+O3)*R3*S3*T3</f>
        <v>157201.95175918253</v>
      </c>
      <c r="V3" s="7"/>
    </row>
    <row r="4" spans="1:22" x14ac:dyDescent="0.3">
      <c r="A4" s="18"/>
      <c r="B4" s="1" t="s">
        <v>29</v>
      </c>
      <c r="C4" s="1" t="s">
        <v>30</v>
      </c>
      <c r="D4" s="1"/>
      <c r="F4" t="s">
        <v>17</v>
      </c>
      <c r="G4">
        <f t="shared" si="0"/>
        <v>3890</v>
      </c>
      <c r="H4">
        <v>2.4224999999999999</v>
      </c>
      <c r="I4">
        <v>1.28</v>
      </c>
      <c r="J4">
        <v>1</v>
      </c>
      <c r="K4">
        <f t="shared" si="1"/>
        <v>12062.111999999999</v>
      </c>
      <c r="L4">
        <v>200</v>
      </c>
      <c r="M4">
        <v>2.38</v>
      </c>
      <c r="N4">
        <f t="shared" si="2"/>
        <v>3.9254545454545453</v>
      </c>
      <c r="O4">
        <v>0</v>
      </c>
      <c r="P4">
        <v>0.85</v>
      </c>
      <c r="Q4">
        <v>2.2200000000000002</v>
      </c>
      <c r="R4">
        <f t="shared" si="3"/>
        <v>2.887</v>
      </c>
      <c r="S4">
        <v>1.1499999999999999</v>
      </c>
      <c r="T4">
        <v>1</v>
      </c>
      <c r="U4">
        <f t="shared" si="4"/>
        <v>157201.95175918253</v>
      </c>
      <c r="V4" s="7"/>
    </row>
    <row r="5" spans="1:22" x14ac:dyDescent="0.3">
      <c r="A5" s="18"/>
      <c r="B5" s="1">
        <f>V2+T19</f>
        <v>2975522.3883318566</v>
      </c>
      <c r="C5" s="2">
        <f>B5/B3</f>
        <v>0.79264752876944555</v>
      </c>
      <c r="D5" s="1"/>
      <c r="F5" t="s">
        <v>17</v>
      </c>
      <c r="G5">
        <f t="shared" si="0"/>
        <v>3890</v>
      </c>
      <c r="H5">
        <v>2.4224999999999999</v>
      </c>
      <c r="I5">
        <v>1.28</v>
      </c>
      <c r="J5">
        <v>1</v>
      </c>
      <c r="K5">
        <f t="shared" si="1"/>
        <v>12062.111999999999</v>
      </c>
      <c r="L5">
        <v>200</v>
      </c>
      <c r="M5">
        <v>2.38</v>
      </c>
      <c r="N5">
        <f t="shared" si="2"/>
        <v>3.9254545454545453</v>
      </c>
      <c r="O5">
        <v>0</v>
      </c>
      <c r="P5">
        <v>0.85</v>
      </c>
      <c r="Q5">
        <v>2.2200000000000002</v>
      </c>
      <c r="R5">
        <f t="shared" si="3"/>
        <v>2.887</v>
      </c>
      <c r="S5">
        <v>1.1499999999999999</v>
      </c>
      <c r="T5">
        <v>1</v>
      </c>
      <c r="U5">
        <f t="shared" si="4"/>
        <v>157201.95175918253</v>
      </c>
      <c r="V5" s="7"/>
    </row>
    <row r="6" spans="1:22" x14ac:dyDescent="0.3">
      <c r="A6" s="18"/>
      <c r="B6" s="1" t="s">
        <v>31</v>
      </c>
      <c r="C6" s="2" t="s">
        <v>30</v>
      </c>
      <c r="D6" s="1"/>
      <c r="F6" t="s">
        <v>17</v>
      </c>
      <c r="G6">
        <f t="shared" si="0"/>
        <v>3890</v>
      </c>
      <c r="H6">
        <v>2.4224999999999999</v>
      </c>
      <c r="I6">
        <v>1.28</v>
      </c>
      <c r="J6">
        <v>1</v>
      </c>
      <c r="K6">
        <f t="shared" si="1"/>
        <v>12062.111999999999</v>
      </c>
      <c r="L6">
        <v>200</v>
      </c>
      <c r="M6">
        <v>2.38</v>
      </c>
      <c r="N6">
        <f t="shared" si="2"/>
        <v>3.9254545454545453</v>
      </c>
      <c r="O6">
        <v>0</v>
      </c>
      <c r="P6">
        <v>0.85</v>
      </c>
      <c r="Q6">
        <v>2.2200000000000002</v>
      </c>
      <c r="R6">
        <f t="shared" si="3"/>
        <v>2.887</v>
      </c>
      <c r="S6">
        <v>1.1499999999999999</v>
      </c>
      <c r="T6">
        <v>1</v>
      </c>
      <c r="U6">
        <f t="shared" si="4"/>
        <v>157201.95175918253</v>
      </c>
      <c r="V6" s="7"/>
    </row>
    <row r="7" spans="1:22" x14ac:dyDescent="0.3">
      <c r="A7" s="18"/>
      <c r="B7" s="1">
        <f>V27+T39</f>
        <v>586299.57437125291</v>
      </c>
      <c r="C7" s="2">
        <f>B7/B3</f>
        <v>0.1561839731289969</v>
      </c>
      <c r="D7" s="1"/>
      <c r="F7" t="s">
        <v>17</v>
      </c>
      <c r="G7">
        <f t="shared" si="0"/>
        <v>3890</v>
      </c>
      <c r="H7">
        <v>2.4224999999999999</v>
      </c>
      <c r="I7">
        <v>1.28</v>
      </c>
      <c r="J7">
        <v>1</v>
      </c>
      <c r="K7">
        <f t="shared" si="1"/>
        <v>12062.111999999999</v>
      </c>
      <c r="L7">
        <v>200</v>
      </c>
      <c r="M7">
        <v>2.38</v>
      </c>
      <c r="N7">
        <f t="shared" si="2"/>
        <v>3.9254545454545453</v>
      </c>
      <c r="O7">
        <v>0</v>
      </c>
      <c r="P7">
        <v>0.85</v>
      </c>
      <c r="Q7">
        <v>2.2200000000000002</v>
      </c>
      <c r="R7">
        <f t="shared" si="3"/>
        <v>2.887</v>
      </c>
      <c r="S7">
        <v>1.1499999999999999</v>
      </c>
      <c r="T7">
        <v>1</v>
      </c>
      <c r="U7">
        <f t="shared" si="4"/>
        <v>157201.95175918253</v>
      </c>
      <c r="V7" s="7"/>
    </row>
    <row r="8" spans="1:22" x14ac:dyDescent="0.3">
      <c r="A8" s="18"/>
      <c r="B8" s="1" t="s">
        <v>50</v>
      </c>
      <c r="C8" s="2" t="s">
        <v>30</v>
      </c>
      <c r="D8" s="1"/>
      <c r="F8" s="6" t="s">
        <v>20</v>
      </c>
      <c r="G8">
        <f t="shared" si="0"/>
        <v>3890</v>
      </c>
      <c r="H8">
        <v>5.9543999999999997</v>
      </c>
      <c r="I8">
        <v>1.28</v>
      </c>
      <c r="J8">
        <v>2</v>
      </c>
      <c r="K8">
        <f t="shared" si="1"/>
        <v>59296.29696</v>
      </c>
      <c r="L8">
        <v>200</v>
      </c>
      <c r="M8">
        <v>2.38</v>
      </c>
      <c r="N8">
        <f t="shared" si="2"/>
        <v>3.9254545454545453</v>
      </c>
      <c r="O8">
        <v>0</v>
      </c>
      <c r="P8">
        <v>0.85</v>
      </c>
      <c r="Q8">
        <v>2.2200000000000002</v>
      </c>
      <c r="R8">
        <f t="shared" si="3"/>
        <v>2.887</v>
      </c>
      <c r="S8">
        <v>1.1499999999999999</v>
      </c>
      <c r="T8">
        <v>1</v>
      </c>
      <c r="U8">
        <f t="shared" si="4"/>
        <v>772791.16743436654</v>
      </c>
      <c r="V8" s="7"/>
    </row>
    <row r="9" spans="1:22" x14ac:dyDescent="0.3">
      <c r="A9" s="18"/>
      <c r="B9" s="1">
        <f>U44+U50+U56+U62</f>
        <v>192081.6077164427</v>
      </c>
      <c r="C9" s="2">
        <f>B9/B3</f>
        <v>5.1168498101557477E-2</v>
      </c>
      <c r="D9" s="1"/>
      <c r="F9" s="6" t="s">
        <v>19</v>
      </c>
      <c r="G9">
        <f t="shared" si="0"/>
        <v>3890</v>
      </c>
      <c r="H9">
        <v>0.58320000000000005</v>
      </c>
      <c r="I9">
        <v>1.28</v>
      </c>
      <c r="J9">
        <v>4</v>
      </c>
      <c r="K9">
        <f t="shared" si="1"/>
        <v>11615.477760000002</v>
      </c>
      <c r="L9">
        <v>200</v>
      </c>
      <c r="M9">
        <v>2.38</v>
      </c>
      <c r="N9">
        <f t="shared" si="2"/>
        <v>3.9254545454545453</v>
      </c>
      <c r="O9">
        <v>0</v>
      </c>
      <c r="P9">
        <v>0.85</v>
      </c>
      <c r="Q9">
        <v>2.2200000000000002</v>
      </c>
      <c r="R9">
        <f t="shared" si="3"/>
        <v>2.887</v>
      </c>
      <c r="S9">
        <v>1.1499999999999999</v>
      </c>
      <c r="T9">
        <v>1</v>
      </c>
      <c r="U9">
        <f t="shared" si="4"/>
        <v>151381.0993039509</v>
      </c>
      <c r="V9" s="7"/>
    </row>
    <row r="10" spans="1:22" x14ac:dyDescent="0.3">
      <c r="A10" s="6"/>
      <c r="F10" t="s">
        <v>17</v>
      </c>
      <c r="G10">
        <f>3199+488+203</f>
        <v>3890</v>
      </c>
      <c r="H10">
        <v>2.4224999999999999</v>
      </c>
      <c r="I10">
        <v>1.28</v>
      </c>
      <c r="J10">
        <v>1</v>
      </c>
      <c r="K10">
        <f>G10*H10*I10*J10</f>
        <v>12062.111999999999</v>
      </c>
      <c r="L10">
        <v>200</v>
      </c>
      <c r="M10">
        <v>2.38</v>
      </c>
      <c r="N10">
        <f>1+6*L10/(L10+2000)+M10</f>
        <v>3.9254545454545453</v>
      </c>
      <c r="O10">
        <v>0</v>
      </c>
      <c r="P10">
        <v>0.85</v>
      </c>
      <c r="Q10">
        <v>2.2200000000000002</v>
      </c>
      <c r="R10">
        <f>1+P10*Q10</f>
        <v>2.887</v>
      </c>
      <c r="S10">
        <v>0.9</v>
      </c>
      <c r="T10">
        <v>1</v>
      </c>
      <c r="U10">
        <f>(K10*N10+O10)*R10*S10*T10</f>
        <v>123027.61442022982</v>
      </c>
      <c r="V10" s="7"/>
    </row>
    <row r="11" spans="1:22" x14ac:dyDescent="0.3">
      <c r="A11" s="6"/>
      <c r="F11" t="s">
        <v>17</v>
      </c>
      <c r="G11">
        <f>3199+203</f>
        <v>3402</v>
      </c>
      <c r="H11">
        <v>2.4224999999999999</v>
      </c>
      <c r="I11">
        <v>1.28</v>
      </c>
      <c r="J11">
        <v>1</v>
      </c>
      <c r="K11">
        <f t="shared" ref="K11:K16" si="5">G11*H11*I11*J11</f>
        <v>10548.9216</v>
      </c>
      <c r="L11">
        <v>200</v>
      </c>
      <c r="M11">
        <v>2.38</v>
      </c>
      <c r="N11">
        <f t="shared" ref="N11:N16" si="6">1+6*L11/(L11+2000)+M11</f>
        <v>3.9254545454545453</v>
      </c>
      <c r="O11">
        <v>0</v>
      </c>
      <c r="P11">
        <v>0.85</v>
      </c>
      <c r="Q11">
        <v>2.2200000000000002</v>
      </c>
      <c r="R11">
        <f t="shared" ref="R11:R16" si="7">1+P11*Q11</f>
        <v>2.887</v>
      </c>
      <c r="S11">
        <v>0.9</v>
      </c>
      <c r="T11">
        <v>1</v>
      </c>
      <c r="U11">
        <f t="shared" ref="U11:U16" si="8">(K11*N11+O11)*R11*S11*T11</f>
        <v>107593.81600453003</v>
      </c>
      <c r="V11" s="7"/>
    </row>
    <row r="12" spans="1:22" x14ac:dyDescent="0.3">
      <c r="A12" s="6"/>
      <c r="F12" t="s">
        <v>17</v>
      </c>
      <c r="G12">
        <f t="shared" ref="G12:G13" si="9">3199+203</f>
        <v>3402</v>
      </c>
      <c r="H12">
        <v>2.4224999999999999</v>
      </c>
      <c r="I12">
        <v>1.28</v>
      </c>
      <c r="J12">
        <v>1</v>
      </c>
      <c r="K12">
        <f t="shared" si="5"/>
        <v>10548.9216</v>
      </c>
      <c r="L12">
        <v>200</v>
      </c>
      <c r="M12">
        <v>2.38</v>
      </c>
      <c r="N12">
        <f t="shared" si="6"/>
        <v>3.9254545454545453</v>
      </c>
      <c r="O12">
        <v>0</v>
      </c>
      <c r="P12">
        <v>0.85</v>
      </c>
      <c r="Q12">
        <v>2.2200000000000002</v>
      </c>
      <c r="R12">
        <f t="shared" si="7"/>
        <v>2.887</v>
      </c>
      <c r="S12">
        <v>0.9</v>
      </c>
      <c r="T12">
        <v>1</v>
      </c>
      <c r="U12">
        <f t="shared" si="8"/>
        <v>107593.81600453003</v>
      </c>
      <c r="V12" s="7"/>
    </row>
    <row r="13" spans="1:22" x14ac:dyDescent="0.3">
      <c r="A13" s="6"/>
      <c r="F13" t="s">
        <v>17</v>
      </c>
      <c r="G13">
        <f t="shared" si="9"/>
        <v>3402</v>
      </c>
      <c r="H13">
        <v>2.4224999999999999</v>
      </c>
      <c r="I13">
        <v>1.28</v>
      </c>
      <c r="J13">
        <v>1</v>
      </c>
      <c r="K13">
        <f t="shared" si="5"/>
        <v>10548.9216</v>
      </c>
      <c r="L13">
        <v>200</v>
      </c>
      <c r="M13">
        <v>2.38</v>
      </c>
      <c r="N13">
        <f t="shared" si="6"/>
        <v>3.9254545454545453</v>
      </c>
      <c r="O13">
        <v>0</v>
      </c>
      <c r="P13">
        <v>0.85</v>
      </c>
      <c r="Q13">
        <v>2.2200000000000002</v>
      </c>
      <c r="R13">
        <f t="shared" si="7"/>
        <v>2.887</v>
      </c>
      <c r="S13">
        <v>0.9</v>
      </c>
      <c r="T13">
        <v>1</v>
      </c>
      <c r="U13">
        <f t="shared" si="8"/>
        <v>107593.81600453003</v>
      </c>
      <c r="V13" s="7"/>
    </row>
    <row r="14" spans="1:22" x14ac:dyDescent="0.3">
      <c r="A14" s="6"/>
      <c r="F14" t="s">
        <v>17</v>
      </c>
      <c r="G14">
        <f>3199</f>
        <v>3199</v>
      </c>
      <c r="H14">
        <v>2.4224999999999999</v>
      </c>
      <c r="I14">
        <v>1.28</v>
      </c>
      <c r="J14">
        <v>1</v>
      </c>
      <c r="K14">
        <f t="shared" si="5"/>
        <v>9919.4591999999993</v>
      </c>
      <c r="L14">
        <v>200</v>
      </c>
      <c r="M14">
        <v>1.88</v>
      </c>
      <c r="N14">
        <f t="shared" si="6"/>
        <v>3.4254545454545453</v>
      </c>
      <c r="O14">
        <v>0</v>
      </c>
      <c r="P14">
        <v>0.85</v>
      </c>
      <c r="Q14">
        <v>2.2200000000000002</v>
      </c>
      <c r="R14">
        <f t="shared" si="7"/>
        <v>2.887</v>
      </c>
      <c r="S14">
        <v>0.9</v>
      </c>
      <c r="T14">
        <v>1</v>
      </c>
      <c r="U14">
        <f t="shared" si="8"/>
        <v>88286.743457007688</v>
      </c>
      <c r="V14" s="7"/>
    </row>
    <row r="15" spans="1:22" x14ac:dyDescent="0.3">
      <c r="A15" s="6"/>
      <c r="F15" t="s">
        <v>17</v>
      </c>
      <c r="G15">
        <f>3199</f>
        <v>3199</v>
      </c>
      <c r="H15">
        <v>2.4224999999999999</v>
      </c>
      <c r="I15">
        <v>1.28</v>
      </c>
      <c r="J15">
        <v>1</v>
      </c>
      <c r="K15">
        <f t="shared" si="5"/>
        <v>9919.4591999999993</v>
      </c>
      <c r="L15">
        <v>200</v>
      </c>
      <c r="M15">
        <v>1.88</v>
      </c>
      <c r="N15">
        <f t="shared" si="6"/>
        <v>3.4254545454545453</v>
      </c>
      <c r="O15">
        <v>0</v>
      </c>
      <c r="P15">
        <v>0.85</v>
      </c>
      <c r="Q15">
        <v>2.2200000000000002</v>
      </c>
      <c r="R15">
        <f t="shared" si="7"/>
        <v>2.887</v>
      </c>
      <c r="S15">
        <v>0.9</v>
      </c>
      <c r="T15">
        <v>1</v>
      </c>
      <c r="U15">
        <f t="shared" si="8"/>
        <v>88286.743457007688</v>
      </c>
      <c r="V15" s="7"/>
    </row>
    <row r="16" spans="1:22" x14ac:dyDescent="0.3">
      <c r="A16" s="6"/>
      <c r="F16" s="6" t="s">
        <v>19</v>
      </c>
      <c r="G16">
        <f>3199</f>
        <v>3199</v>
      </c>
      <c r="H16">
        <v>0.58320000000000005</v>
      </c>
      <c r="I16">
        <v>1.28</v>
      </c>
      <c r="J16">
        <v>4</v>
      </c>
      <c r="K16">
        <f t="shared" si="5"/>
        <v>9552.1628160000018</v>
      </c>
      <c r="L16">
        <v>200</v>
      </c>
      <c r="M16">
        <v>1.88</v>
      </c>
      <c r="N16">
        <f t="shared" si="6"/>
        <v>3.4254545454545453</v>
      </c>
      <c r="O16">
        <v>0</v>
      </c>
      <c r="P16">
        <v>0.85</v>
      </c>
      <c r="Q16">
        <v>2.2200000000000002</v>
      </c>
      <c r="R16">
        <f t="shared" si="7"/>
        <v>2.887</v>
      </c>
      <c r="S16">
        <v>0.9</v>
      </c>
      <c r="T16">
        <v>1</v>
      </c>
      <c r="U16">
        <f t="shared" si="8"/>
        <v>85017.673946958763</v>
      </c>
      <c r="V16" s="7"/>
    </row>
    <row r="17" spans="1:22" x14ac:dyDescent="0.3">
      <c r="A17" s="6"/>
      <c r="V17" s="7"/>
    </row>
    <row r="18" spans="1:22" x14ac:dyDescent="0.3">
      <c r="A18" s="6"/>
      <c r="G18" t="s">
        <v>1</v>
      </c>
      <c r="H18" t="s">
        <v>5</v>
      </c>
      <c r="I18" t="s">
        <v>7</v>
      </c>
      <c r="J18" t="s">
        <v>7</v>
      </c>
      <c r="K18" t="s">
        <v>8</v>
      </c>
      <c r="L18" t="s">
        <v>22</v>
      </c>
      <c r="M18" t="s">
        <v>0</v>
      </c>
      <c r="N18" t="s">
        <v>11</v>
      </c>
      <c r="O18" t="s">
        <v>12</v>
      </c>
      <c r="P18" t="s">
        <v>13</v>
      </c>
      <c r="Q18" t="s">
        <v>15</v>
      </c>
      <c r="R18" t="s">
        <v>23</v>
      </c>
      <c r="S18" t="s">
        <v>24</v>
      </c>
      <c r="T18" t="s">
        <v>16</v>
      </c>
      <c r="V18" s="7"/>
    </row>
    <row r="19" spans="1:22" x14ac:dyDescent="0.3">
      <c r="A19" s="6"/>
      <c r="G19">
        <f>3199+488+203</f>
        <v>3890</v>
      </c>
      <c r="H19">
        <v>0.85</v>
      </c>
      <c r="I19">
        <v>1</v>
      </c>
      <c r="J19">
        <v>1</v>
      </c>
      <c r="K19">
        <f>G19*H19*I19*J19</f>
        <v>3306.5</v>
      </c>
      <c r="L19">
        <v>1</v>
      </c>
      <c r="M19">
        <v>0.85</v>
      </c>
      <c r="N19">
        <v>2.2200000000000002</v>
      </c>
      <c r="O19">
        <f>1+M19*N19</f>
        <v>2.887</v>
      </c>
      <c r="P19">
        <v>1.1499999999999999</v>
      </c>
      <c r="Q19">
        <f>K19*L19*O19*P19</f>
        <v>10977.745325</v>
      </c>
      <c r="R19">
        <v>18</v>
      </c>
      <c r="S19">
        <f>Q19*R19</f>
        <v>197599.41584999999</v>
      </c>
      <c r="T19">
        <f>SUM(S19:S25)</f>
        <v>406745.20998549002</v>
      </c>
      <c r="V19" s="7"/>
    </row>
    <row r="20" spans="1:22" x14ac:dyDescent="0.3">
      <c r="A20" s="6"/>
      <c r="G20">
        <f t="shared" ref="G20:G21" si="10">3199+488+203</f>
        <v>3890</v>
      </c>
      <c r="H20">
        <v>1.5879000000000001</v>
      </c>
      <c r="I20">
        <v>3</v>
      </c>
      <c r="J20">
        <v>1</v>
      </c>
      <c r="K20">
        <f t="shared" ref="K20:K21" si="11">G20*H20*I20*J20</f>
        <v>18530.793000000001</v>
      </c>
      <c r="L20">
        <v>1</v>
      </c>
      <c r="M20">
        <v>0.85</v>
      </c>
      <c r="N20">
        <v>2.2200000000000002</v>
      </c>
      <c r="O20">
        <f t="shared" ref="O20:O21" si="12">1+M20*N20</f>
        <v>2.887</v>
      </c>
      <c r="P20">
        <v>1.1499999999999999</v>
      </c>
      <c r="Q20">
        <f t="shared" ref="Q20:Q21" si="13">K20*L20*O20*P20</f>
        <v>61523.159299650004</v>
      </c>
      <c r="R20">
        <v>1</v>
      </c>
      <c r="S20">
        <f t="shared" ref="S20:S21" si="14">Q20*R20</f>
        <v>61523.159299650004</v>
      </c>
      <c r="V20" s="7"/>
    </row>
    <row r="21" spans="1:22" x14ac:dyDescent="0.3">
      <c r="A21" s="6"/>
      <c r="G21">
        <f t="shared" si="10"/>
        <v>3890</v>
      </c>
      <c r="H21">
        <v>0.58320000000000005</v>
      </c>
      <c r="I21">
        <v>1</v>
      </c>
      <c r="J21">
        <v>1</v>
      </c>
      <c r="K21">
        <f t="shared" si="11"/>
        <v>2268.6480000000001</v>
      </c>
      <c r="L21">
        <v>1</v>
      </c>
      <c r="M21">
        <v>0.85</v>
      </c>
      <c r="N21">
        <v>2.2200000000000002</v>
      </c>
      <c r="O21">
        <f t="shared" si="12"/>
        <v>2.887</v>
      </c>
      <c r="P21">
        <v>1.1499999999999999</v>
      </c>
      <c r="Q21">
        <f t="shared" si="13"/>
        <v>7532.0247923999996</v>
      </c>
      <c r="R21">
        <v>1</v>
      </c>
      <c r="S21">
        <f t="shared" si="14"/>
        <v>7532.0247923999996</v>
      </c>
      <c r="V21" s="7"/>
    </row>
    <row r="22" spans="1:22" x14ac:dyDescent="0.3">
      <c r="A22" s="6"/>
      <c r="G22">
        <f>G11</f>
        <v>3402</v>
      </c>
      <c r="H22">
        <v>0.85</v>
      </c>
      <c r="I22">
        <v>1</v>
      </c>
      <c r="J22">
        <v>1</v>
      </c>
      <c r="K22">
        <f>G22*H22*I22*J22</f>
        <v>2891.7</v>
      </c>
      <c r="L22">
        <v>1</v>
      </c>
      <c r="M22">
        <v>0.85</v>
      </c>
      <c r="N22">
        <v>2.2200000000000002</v>
      </c>
      <c r="O22">
        <f>1+M22*N22</f>
        <v>2.887</v>
      </c>
      <c r="P22">
        <v>0.9</v>
      </c>
      <c r="Q22">
        <f>K22*L22*O22*P22</f>
        <v>7513.5041099999989</v>
      </c>
      <c r="R22">
        <v>18</v>
      </c>
      <c r="S22">
        <f>Q22*R22</f>
        <v>135243.07397999999</v>
      </c>
      <c r="V22" s="7"/>
    </row>
    <row r="23" spans="1:22" x14ac:dyDescent="0.3">
      <c r="A23" s="6"/>
      <c r="G23">
        <f>G16</f>
        <v>3199</v>
      </c>
      <c r="H23">
        <v>0.58320000000000005</v>
      </c>
      <c r="I23">
        <v>1</v>
      </c>
      <c r="J23">
        <v>1</v>
      </c>
      <c r="K23">
        <f t="shared" ref="K23" si="15">G23*H23*I23*J23</f>
        <v>1865.6568000000002</v>
      </c>
      <c r="L23">
        <v>1</v>
      </c>
      <c r="M23">
        <v>0.85</v>
      </c>
      <c r="N23">
        <v>2.2200000000000002</v>
      </c>
      <c r="O23">
        <f t="shared" ref="O23" si="16">1+M23*N23</f>
        <v>2.887</v>
      </c>
      <c r="P23">
        <v>0.9</v>
      </c>
      <c r="Q23">
        <f t="shared" ref="Q23" si="17">K23*L23*O23*P23</f>
        <v>4847.5360634400004</v>
      </c>
      <c r="R23">
        <v>1</v>
      </c>
      <c r="S23">
        <f t="shared" ref="S23" si="18">Q23*R23</f>
        <v>4847.5360634400004</v>
      </c>
      <c r="V23" s="7"/>
    </row>
    <row r="24" spans="1:22" ht="14.5" thickBot="1" x14ac:dyDescent="0.35">
      <c r="A24" s="6"/>
      <c r="V24" s="7"/>
    </row>
    <row r="25" spans="1:22" x14ac:dyDescent="0.3">
      <c r="A25" s="6"/>
      <c r="F25" s="19" t="s">
        <v>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  <row r="26" spans="1:22" x14ac:dyDescent="0.3">
      <c r="A26" s="6"/>
      <c r="F26" s="6" t="s">
        <v>4</v>
      </c>
      <c r="G26" t="s">
        <v>1</v>
      </c>
      <c r="H26" t="s">
        <v>5</v>
      </c>
      <c r="I26" t="s">
        <v>6</v>
      </c>
      <c r="J26" t="s">
        <v>7</v>
      </c>
      <c r="K26" t="s">
        <v>8</v>
      </c>
      <c r="L26" t="s">
        <v>2</v>
      </c>
      <c r="M26" t="s">
        <v>18</v>
      </c>
      <c r="N26" t="s">
        <v>9</v>
      </c>
      <c r="O26" t="s">
        <v>10</v>
      </c>
      <c r="P26" t="s">
        <v>0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V26" s="7" t="s">
        <v>16</v>
      </c>
    </row>
    <row r="27" spans="1:22" x14ac:dyDescent="0.3">
      <c r="A27" s="6"/>
      <c r="F27" s="6" t="s">
        <v>32</v>
      </c>
      <c r="G27">
        <v>2604</v>
      </c>
      <c r="H27">
        <v>8.2554999999999996</v>
      </c>
      <c r="I27">
        <v>1.28</v>
      </c>
      <c r="J27">
        <f>16*0.015+1</f>
        <v>1.24</v>
      </c>
      <c r="K27">
        <f>G27*H27*I27*J27</f>
        <v>34120.549478399997</v>
      </c>
      <c r="L27">
        <v>20</v>
      </c>
      <c r="M27">
        <v>1.1000000000000001</v>
      </c>
      <c r="N27">
        <f>1+6*L27/(L27+2000)+M27</f>
        <v>2.1594059405940595</v>
      </c>
      <c r="O27">
        <v>0</v>
      </c>
      <c r="P27">
        <v>0.93</v>
      </c>
      <c r="Q27">
        <v>2.2999999999999998</v>
      </c>
      <c r="R27">
        <f>1+P27*Q27</f>
        <v>3.1389999999999998</v>
      </c>
      <c r="S27">
        <v>0.9</v>
      </c>
      <c r="T27">
        <v>1</v>
      </c>
      <c r="U27">
        <f>(K27*N27+O27)*R27*S27*T27</f>
        <v>208153.69921469712</v>
      </c>
      <c r="V27" s="7">
        <f>SUM(U27:U36)</f>
        <v>449480.94105772296</v>
      </c>
    </row>
    <row r="28" spans="1:22" x14ac:dyDescent="0.3">
      <c r="A28" s="6"/>
      <c r="F28" s="6" t="s">
        <v>33</v>
      </c>
      <c r="G28">
        <f>189+2604</f>
        <v>2793</v>
      </c>
      <c r="H28">
        <v>0.72950000000000004</v>
      </c>
      <c r="I28">
        <v>1.28</v>
      </c>
      <c r="J28">
        <f>17*0.015+1</f>
        <v>1.2549999999999999</v>
      </c>
      <c r="K28">
        <f t="shared" ref="K28:K36" si="19">G28*H28*I28*J28</f>
        <v>3273.0295584</v>
      </c>
      <c r="L28">
        <v>20</v>
      </c>
      <c r="M28">
        <v>1.3</v>
      </c>
      <c r="N28">
        <f t="shared" ref="N28:N36" si="20">1+6*L28/(L28+2000)+M28</f>
        <v>2.3594059405940593</v>
      </c>
      <c r="O28">
        <v>0</v>
      </c>
      <c r="P28">
        <v>0.93</v>
      </c>
      <c r="Q28">
        <v>2.2999999999999998</v>
      </c>
      <c r="R28">
        <f t="shared" ref="R28:R36" si="21">1+P28*Q28</f>
        <v>3.1389999999999998</v>
      </c>
      <c r="S28">
        <v>0.9</v>
      </c>
      <c r="T28">
        <v>1</v>
      </c>
      <c r="U28">
        <f t="shared" ref="U28:U36" si="22">(K28*N28+O28)*R28*S28*T28</f>
        <v>21816.567449855054</v>
      </c>
      <c r="V28" s="7"/>
    </row>
    <row r="29" spans="1:22" x14ac:dyDescent="0.3">
      <c r="A29" s="6"/>
      <c r="F29" s="6" t="s">
        <v>34</v>
      </c>
      <c r="G29">
        <f t="shared" ref="G29:G35" si="23">189+2604</f>
        <v>2793</v>
      </c>
      <c r="H29">
        <v>0.87239999999999995</v>
      </c>
      <c r="I29">
        <v>1.28</v>
      </c>
      <c r="J29">
        <f t="shared" ref="J29:J35" si="24">17*0.015+1</f>
        <v>1.2549999999999999</v>
      </c>
      <c r="K29">
        <f t="shared" si="19"/>
        <v>3914.175444479999</v>
      </c>
      <c r="L29">
        <v>20</v>
      </c>
      <c r="M29">
        <v>1.3</v>
      </c>
      <c r="N29">
        <f t="shared" si="20"/>
        <v>2.3594059405940593</v>
      </c>
      <c r="O29">
        <v>0</v>
      </c>
      <c r="P29">
        <v>0.93</v>
      </c>
      <c r="Q29">
        <v>2.2999999999999998</v>
      </c>
      <c r="R29">
        <f t="shared" si="21"/>
        <v>3.1389999999999998</v>
      </c>
      <c r="S29">
        <v>1.1499999999999999</v>
      </c>
      <c r="T29">
        <v>1</v>
      </c>
      <c r="U29">
        <f t="shared" si="22"/>
        <v>33337.429685083509</v>
      </c>
      <c r="V29" s="7"/>
    </row>
    <row r="30" spans="1:22" x14ac:dyDescent="0.3">
      <c r="A30" s="6"/>
      <c r="F30" s="6" t="s">
        <v>35</v>
      </c>
      <c r="G30">
        <f t="shared" si="23"/>
        <v>2793</v>
      </c>
      <c r="H30">
        <v>0.72950000000000004</v>
      </c>
      <c r="I30">
        <v>1.28</v>
      </c>
      <c r="J30">
        <f t="shared" si="24"/>
        <v>1.2549999999999999</v>
      </c>
      <c r="K30">
        <f t="shared" si="19"/>
        <v>3273.0295584</v>
      </c>
      <c r="L30">
        <v>20</v>
      </c>
      <c r="M30">
        <v>1.3</v>
      </c>
      <c r="N30">
        <f t="shared" si="20"/>
        <v>2.3594059405940593</v>
      </c>
      <c r="O30">
        <v>0</v>
      </c>
      <c r="P30">
        <v>0.93</v>
      </c>
      <c r="Q30">
        <v>2.2999999999999998</v>
      </c>
      <c r="R30">
        <f t="shared" si="21"/>
        <v>3.1389999999999998</v>
      </c>
      <c r="S30">
        <v>1.1499999999999999</v>
      </c>
      <c r="T30">
        <v>1</v>
      </c>
      <c r="U30">
        <f t="shared" si="22"/>
        <v>27876.725074814789</v>
      </c>
      <c r="V30" s="7"/>
    </row>
    <row r="31" spans="1:22" x14ac:dyDescent="0.3">
      <c r="A31" s="6"/>
      <c r="F31" s="6" t="s">
        <v>36</v>
      </c>
      <c r="G31">
        <f t="shared" si="23"/>
        <v>2793</v>
      </c>
      <c r="H31">
        <v>0.87239999999999995</v>
      </c>
      <c r="I31">
        <v>1.28</v>
      </c>
      <c r="J31">
        <f t="shared" si="24"/>
        <v>1.2549999999999999</v>
      </c>
      <c r="K31">
        <f t="shared" si="19"/>
        <v>3914.175444479999</v>
      </c>
      <c r="L31">
        <v>20</v>
      </c>
      <c r="M31">
        <v>1.3</v>
      </c>
      <c r="N31">
        <f t="shared" si="20"/>
        <v>2.3594059405940593</v>
      </c>
      <c r="O31">
        <v>0</v>
      </c>
      <c r="P31">
        <v>0.93</v>
      </c>
      <c r="Q31">
        <v>2.2999999999999998</v>
      </c>
      <c r="R31">
        <f t="shared" si="21"/>
        <v>3.1389999999999998</v>
      </c>
      <c r="S31">
        <v>1.1499999999999999</v>
      </c>
      <c r="T31">
        <v>1</v>
      </c>
      <c r="U31">
        <f t="shared" si="22"/>
        <v>33337.429685083509</v>
      </c>
      <c r="V31" s="7"/>
    </row>
    <row r="32" spans="1:22" x14ac:dyDescent="0.3">
      <c r="A32" s="6"/>
      <c r="F32" s="6" t="s">
        <v>37</v>
      </c>
      <c r="G32">
        <f t="shared" si="23"/>
        <v>2793</v>
      </c>
      <c r="H32">
        <v>0.72950000000000004</v>
      </c>
      <c r="I32">
        <v>1.28</v>
      </c>
      <c r="J32">
        <f t="shared" si="24"/>
        <v>1.2549999999999999</v>
      </c>
      <c r="K32">
        <f t="shared" si="19"/>
        <v>3273.0295584</v>
      </c>
      <c r="L32">
        <v>20</v>
      </c>
      <c r="M32">
        <v>1.3</v>
      </c>
      <c r="N32">
        <f t="shared" si="20"/>
        <v>2.3594059405940593</v>
      </c>
      <c r="O32">
        <v>0</v>
      </c>
      <c r="P32">
        <v>0.93</v>
      </c>
      <c r="Q32">
        <v>2.2999999999999998</v>
      </c>
      <c r="R32">
        <f t="shared" si="21"/>
        <v>3.1389999999999998</v>
      </c>
      <c r="S32">
        <v>1.1499999999999999</v>
      </c>
      <c r="T32">
        <v>1</v>
      </c>
      <c r="U32">
        <f t="shared" si="22"/>
        <v>27876.725074814789</v>
      </c>
      <c r="V32" s="7"/>
    </row>
    <row r="33" spans="1:22" x14ac:dyDescent="0.3">
      <c r="A33" s="6"/>
      <c r="F33" s="6" t="s">
        <v>38</v>
      </c>
      <c r="G33">
        <f t="shared" si="23"/>
        <v>2793</v>
      </c>
      <c r="H33">
        <v>0.87239999999999995</v>
      </c>
      <c r="I33">
        <v>1.28</v>
      </c>
      <c r="J33">
        <f t="shared" si="24"/>
        <v>1.2549999999999999</v>
      </c>
      <c r="K33">
        <f t="shared" si="19"/>
        <v>3914.175444479999</v>
      </c>
      <c r="L33">
        <v>20</v>
      </c>
      <c r="M33">
        <v>1.3</v>
      </c>
      <c r="N33">
        <f t="shared" si="20"/>
        <v>2.3594059405940593</v>
      </c>
      <c r="O33">
        <v>0</v>
      </c>
      <c r="P33">
        <v>0.93</v>
      </c>
      <c r="Q33">
        <v>2.2999999999999998</v>
      </c>
      <c r="R33">
        <f t="shared" si="21"/>
        <v>3.1389999999999998</v>
      </c>
      <c r="S33">
        <v>1.1499999999999999</v>
      </c>
      <c r="T33">
        <v>1</v>
      </c>
      <c r="U33">
        <f t="shared" si="22"/>
        <v>33337.429685083509</v>
      </c>
      <c r="V33" s="7"/>
    </row>
    <row r="34" spans="1:22" x14ac:dyDescent="0.3">
      <c r="A34" s="6"/>
      <c r="F34" s="6" t="s">
        <v>39</v>
      </c>
      <c r="G34">
        <f t="shared" si="23"/>
        <v>2793</v>
      </c>
      <c r="H34">
        <v>0.72950000000000004</v>
      </c>
      <c r="I34">
        <v>1.28</v>
      </c>
      <c r="J34">
        <f t="shared" si="24"/>
        <v>1.2549999999999999</v>
      </c>
      <c r="K34">
        <f t="shared" si="19"/>
        <v>3273.0295584</v>
      </c>
      <c r="L34">
        <v>20</v>
      </c>
      <c r="M34">
        <v>1.3</v>
      </c>
      <c r="N34">
        <f t="shared" si="20"/>
        <v>2.3594059405940593</v>
      </c>
      <c r="O34">
        <v>0</v>
      </c>
      <c r="P34">
        <v>0.93</v>
      </c>
      <c r="Q34">
        <v>2.2999999999999998</v>
      </c>
      <c r="R34">
        <f t="shared" si="21"/>
        <v>3.1389999999999998</v>
      </c>
      <c r="S34">
        <v>0.9</v>
      </c>
      <c r="T34">
        <v>1</v>
      </c>
      <c r="U34">
        <f t="shared" si="22"/>
        <v>21816.567449855054</v>
      </c>
      <c r="V34" s="7"/>
    </row>
    <row r="35" spans="1:22" x14ac:dyDescent="0.3">
      <c r="A35" s="6"/>
      <c r="F35" s="6" t="s">
        <v>40</v>
      </c>
      <c r="G35">
        <f t="shared" si="23"/>
        <v>2793</v>
      </c>
      <c r="H35">
        <v>0.87239999999999995</v>
      </c>
      <c r="I35">
        <v>1.28</v>
      </c>
      <c r="J35">
        <f t="shared" si="24"/>
        <v>1.2549999999999999</v>
      </c>
      <c r="K35">
        <f t="shared" si="19"/>
        <v>3914.175444479999</v>
      </c>
      <c r="L35">
        <v>20</v>
      </c>
      <c r="M35">
        <v>1.3</v>
      </c>
      <c r="N35">
        <f t="shared" si="20"/>
        <v>2.3594059405940593</v>
      </c>
      <c r="O35">
        <v>0</v>
      </c>
      <c r="P35">
        <v>0.93</v>
      </c>
      <c r="Q35">
        <v>2.2999999999999998</v>
      </c>
      <c r="R35">
        <f t="shared" si="21"/>
        <v>3.1389999999999998</v>
      </c>
      <c r="S35">
        <v>0.9</v>
      </c>
      <c r="T35">
        <v>1</v>
      </c>
      <c r="U35">
        <f t="shared" si="22"/>
        <v>26090.162362239269</v>
      </c>
      <c r="V35" s="7"/>
    </row>
    <row r="36" spans="1:22" x14ac:dyDescent="0.3">
      <c r="A36" s="6"/>
      <c r="F36" s="6" t="s">
        <v>41</v>
      </c>
      <c r="G36">
        <v>2604</v>
      </c>
      <c r="H36">
        <v>0.72950000000000004</v>
      </c>
      <c r="I36">
        <v>1.28</v>
      </c>
      <c r="J36">
        <v>1.24</v>
      </c>
      <c r="K36">
        <f t="shared" si="19"/>
        <v>3015.0736896000003</v>
      </c>
      <c r="L36">
        <v>20</v>
      </c>
      <c r="M36">
        <v>0.8</v>
      </c>
      <c r="N36">
        <f t="shared" si="20"/>
        <v>1.8594059405940595</v>
      </c>
      <c r="O36">
        <v>0</v>
      </c>
      <c r="P36">
        <v>0.93</v>
      </c>
      <c r="Q36">
        <v>2.2999999999999998</v>
      </c>
      <c r="R36">
        <f t="shared" si="21"/>
        <v>3.1389999999999998</v>
      </c>
      <c r="S36">
        <v>0.9</v>
      </c>
      <c r="T36">
        <v>1</v>
      </c>
      <c r="U36">
        <f t="shared" si="22"/>
        <v>15838.205376196307</v>
      </c>
      <c r="V36" s="7"/>
    </row>
    <row r="37" spans="1:22" x14ac:dyDescent="0.3">
      <c r="A37" s="6"/>
      <c r="F37" s="6"/>
      <c r="V37" s="7"/>
    </row>
    <row r="38" spans="1:22" x14ac:dyDescent="0.3">
      <c r="A38" s="6"/>
      <c r="F38" s="6"/>
      <c r="G38" t="s">
        <v>1</v>
      </c>
      <c r="H38" t="s">
        <v>5</v>
      </c>
      <c r="I38" t="s">
        <v>7</v>
      </c>
      <c r="J38" t="s">
        <v>7</v>
      </c>
      <c r="K38" t="s">
        <v>8</v>
      </c>
      <c r="L38" t="s">
        <v>22</v>
      </c>
      <c r="M38" t="s">
        <v>0</v>
      </c>
      <c r="N38" t="s">
        <v>11</v>
      </c>
      <c r="O38" t="s">
        <v>12</v>
      </c>
      <c r="P38" t="s">
        <v>13</v>
      </c>
      <c r="Q38" t="s">
        <v>15</v>
      </c>
      <c r="R38" t="s">
        <v>23</v>
      </c>
      <c r="S38" t="s">
        <v>24</v>
      </c>
      <c r="T38" t="s">
        <v>16</v>
      </c>
      <c r="V38" s="7"/>
    </row>
    <row r="39" spans="1:22" x14ac:dyDescent="0.3">
      <c r="A39" s="6"/>
      <c r="F39" s="6"/>
      <c r="G39">
        <f>G27</f>
        <v>2604</v>
      </c>
      <c r="H39">
        <v>1.9454</v>
      </c>
      <c r="I39">
        <v>1</v>
      </c>
      <c r="J39">
        <v>1</v>
      </c>
      <c r="K39">
        <f>G39*H39*I39*J39</f>
        <v>5065.8216000000002</v>
      </c>
      <c r="L39">
        <v>1</v>
      </c>
      <c r="M39">
        <v>0.93</v>
      </c>
      <c r="N39">
        <v>2.2999999999999998</v>
      </c>
      <c r="O39">
        <f>1+M39*N39</f>
        <v>3.1389999999999998</v>
      </c>
      <c r="P39">
        <v>0.9</v>
      </c>
      <c r="Q39">
        <f>K39*L39*O39*P39</f>
        <v>14311.45260216</v>
      </c>
      <c r="R39">
        <v>1</v>
      </c>
      <c r="S39">
        <f>Q39*R39</f>
        <v>14311.45260216</v>
      </c>
      <c r="T39">
        <f>SUM(S39:S40)</f>
        <v>136818.63331352998</v>
      </c>
      <c r="V39" s="7"/>
    </row>
    <row r="40" spans="1:22" ht="14.5" thickBot="1" x14ac:dyDescent="0.35">
      <c r="A40" s="6"/>
      <c r="F40" s="8"/>
      <c r="G40" s="9">
        <f>G31</f>
        <v>2793</v>
      </c>
      <c r="H40" s="9">
        <v>1.7251000000000001</v>
      </c>
      <c r="I40" s="9">
        <v>1</v>
      </c>
      <c r="J40" s="9">
        <v>1</v>
      </c>
      <c r="K40" s="9">
        <f>G40*H40*I40*J40</f>
        <v>4818.2043000000003</v>
      </c>
      <c r="L40" s="9">
        <v>1</v>
      </c>
      <c r="M40" s="9">
        <v>0.93</v>
      </c>
      <c r="N40" s="9">
        <v>2.2999999999999998</v>
      </c>
      <c r="O40" s="9">
        <f>1+M40*N40</f>
        <v>3.1389999999999998</v>
      </c>
      <c r="P40" s="9">
        <v>0.9</v>
      </c>
      <c r="Q40" s="9">
        <f>K40*L40*O40*P40</f>
        <v>13611.90896793</v>
      </c>
      <c r="R40" s="9">
        <v>9</v>
      </c>
      <c r="S40" s="9">
        <f>Q40*R40</f>
        <v>122507.18071136999</v>
      </c>
      <c r="T40" s="9"/>
      <c r="U40" s="9"/>
      <c r="V40" s="10"/>
    </row>
    <row r="41" spans="1:22" x14ac:dyDescent="0.3">
      <c r="A41" s="6"/>
      <c r="V41" s="7"/>
    </row>
    <row r="42" spans="1:22" ht="14.5" thickBot="1" x14ac:dyDescent="0.35">
      <c r="A42" s="6"/>
      <c r="F42" s="22" t="s">
        <v>53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7"/>
    </row>
    <row r="43" spans="1:22" x14ac:dyDescent="0.3">
      <c r="A43" s="6"/>
      <c r="F43" s="3"/>
      <c r="G43" s="4" t="s">
        <v>42</v>
      </c>
      <c r="H43" s="4" t="s">
        <v>43</v>
      </c>
      <c r="I43" s="4" t="s">
        <v>6</v>
      </c>
      <c r="J43" s="4" t="s">
        <v>2</v>
      </c>
      <c r="K43" s="4" t="s">
        <v>18</v>
      </c>
      <c r="L43" s="4" t="s">
        <v>9</v>
      </c>
      <c r="M43" s="4" t="s">
        <v>0</v>
      </c>
      <c r="N43" s="4" t="s">
        <v>11</v>
      </c>
      <c r="O43" s="4" t="s">
        <v>12</v>
      </c>
      <c r="P43" s="4" t="s">
        <v>13</v>
      </c>
      <c r="Q43" s="4" t="s">
        <v>14</v>
      </c>
      <c r="R43" s="4" t="s">
        <v>48</v>
      </c>
      <c r="S43" s="4" t="s">
        <v>49</v>
      </c>
      <c r="T43" s="4" t="s">
        <v>51</v>
      </c>
      <c r="U43" s="5" t="s">
        <v>16</v>
      </c>
      <c r="V43" s="7"/>
    </row>
    <row r="44" spans="1:22" x14ac:dyDescent="0.3">
      <c r="A44" s="6"/>
      <c r="F44" s="6" t="s">
        <v>44</v>
      </c>
      <c r="G44">
        <v>1446.85</v>
      </c>
      <c r="H44">
        <v>2</v>
      </c>
      <c r="I44">
        <v>1.28</v>
      </c>
      <c r="J44">
        <v>200</v>
      </c>
      <c r="K44">
        <v>2.38</v>
      </c>
      <c r="L44">
        <f>1+6*J44/(J44+2000)+K44</f>
        <v>3.9254545454545453</v>
      </c>
      <c r="M44">
        <v>0.85</v>
      </c>
      <c r="N44">
        <v>2.2200000000000002</v>
      </c>
      <c r="O44">
        <f>1+M44*N44</f>
        <v>2.887</v>
      </c>
      <c r="P44">
        <v>1.1499999999999999</v>
      </c>
      <c r="Q44">
        <v>1</v>
      </c>
      <c r="R44">
        <v>0.6</v>
      </c>
      <c r="S44">
        <f>G44*H44*I44*L44*O44*P44*Q44*R44</f>
        <v>28963.383944259487</v>
      </c>
      <c r="T44">
        <v>2</v>
      </c>
      <c r="U44" s="7">
        <f>T46*T44</f>
        <v>73393.794043504793</v>
      </c>
      <c r="V44" s="7"/>
    </row>
    <row r="45" spans="1:22" x14ac:dyDescent="0.3">
      <c r="A45" s="6"/>
      <c r="F45" s="6" t="s">
        <v>45</v>
      </c>
      <c r="G45">
        <v>1446.85</v>
      </c>
      <c r="H45">
        <v>2</v>
      </c>
      <c r="I45">
        <v>1.28</v>
      </c>
      <c r="J45">
        <v>0</v>
      </c>
      <c r="K45">
        <v>1.9</v>
      </c>
      <c r="L45">
        <f t="shared" ref="L45:L47" si="25">1+6*J45/(J45+2000)+K45</f>
        <v>2.9</v>
      </c>
      <c r="M45">
        <v>0.5</v>
      </c>
      <c r="N45">
        <v>1.5</v>
      </c>
      <c r="O45">
        <f t="shared" ref="O45:O47" si="26">1+M45*N45</f>
        <v>1.75</v>
      </c>
      <c r="P45">
        <v>0.9</v>
      </c>
      <c r="Q45">
        <v>1</v>
      </c>
      <c r="R45">
        <v>0.3</v>
      </c>
      <c r="S45">
        <f t="shared" ref="S45:S47" si="27">G45*H45*I45*L45*O45*P45*Q45*R45</f>
        <v>5075.3183039999994</v>
      </c>
      <c r="T45" t="s">
        <v>15</v>
      </c>
      <c r="U45" s="7"/>
      <c r="V45" s="7"/>
    </row>
    <row r="46" spans="1:22" x14ac:dyDescent="0.3">
      <c r="A46" s="6"/>
      <c r="F46" s="6" t="s">
        <v>46</v>
      </c>
      <c r="G46">
        <v>1446.85</v>
      </c>
      <c r="H46">
        <v>2</v>
      </c>
      <c r="I46">
        <v>1.28</v>
      </c>
      <c r="J46">
        <v>20</v>
      </c>
      <c r="K46">
        <v>1.3</v>
      </c>
      <c r="L46">
        <f t="shared" si="25"/>
        <v>2.3594059405940593</v>
      </c>
      <c r="M46">
        <v>0.93</v>
      </c>
      <c r="N46">
        <v>2.2999999999999998</v>
      </c>
      <c r="O46">
        <f t="shared" si="26"/>
        <v>3.1389999999999998</v>
      </c>
      <c r="P46">
        <v>1.1499999999999999</v>
      </c>
      <c r="Q46">
        <v>1</v>
      </c>
      <c r="R46">
        <v>0.05</v>
      </c>
      <c r="S46">
        <f t="shared" si="27"/>
        <v>1577.3399494929104</v>
      </c>
      <c r="T46">
        <f>SUM(S44:S47)</f>
        <v>36696.897021752397</v>
      </c>
      <c r="U46" s="7"/>
      <c r="V46" s="7"/>
    </row>
    <row r="47" spans="1:22" x14ac:dyDescent="0.3">
      <c r="A47" s="6"/>
      <c r="F47" s="6" t="s">
        <v>47</v>
      </c>
      <c r="G47">
        <v>1446.85</v>
      </c>
      <c r="H47">
        <v>2</v>
      </c>
      <c r="I47">
        <v>1.28</v>
      </c>
      <c r="J47">
        <v>0</v>
      </c>
      <c r="K47">
        <v>1.9</v>
      </c>
      <c r="L47">
        <f t="shared" si="25"/>
        <v>2.9</v>
      </c>
      <c r="M47">
        <v>0.5</v>
      </c>
      <c r="N47">
        <v>1.5</v>
      </c>
      <c r="O47">
        <f t="shared" si="26"/>
        <v>1.75</v>
      </c>
      <c r="P47">
        <v>1.1499999999999999</v>
      </c>
      <c r="Q47">
        <v>1</v>
      </c>
      <c r="R47">
        <v>0.05</v>
      </c>
      <c r="S47">
        <f t="shared" si="27"/>
        <v>1080.854824</v>
      </c>
      <c r="U47" s="7"/>
      <c r="V47" s="7"/>
    </row>
    <row r="48" spans="1:22" x14ac:dyDescent="0.3">
      <c r="A48" s="6"/>
      <c r="F48" s="6"/>
      <c r="U48" s="7"/>
      <c r="V48" s="7"/>
    </row>
    <row r="49" spans="1:22" x14ac:dyDescent="0.3">
      <c r="A49" s="6"/>
      <c r="F49" s="6"/>
      <c r="G49" t="s">
        <v>42</v>
      </c>
      <c r="H49" t="s">
        <v>43</v>
      </c>
      <c r="I49" t="s">
        <v>6</v>
      </c>
      <c r="J49" t="s">
        <v>2</v>
      </c>
      <c r="K49" t="s">
        <v>18</v>
      </c>
      <c r="L49" t="s">
        <v>9</v>
      </c>
      <c r="M49" t="s">
        <v>0</v>
      </c>
      <c r="N49" t="s">
        <v>11</v>
      </c>
      <c r="O49" t="s">
        <v>12</v>
      </c>
      <c r="P49" t="s">
        <v>13</v>
      </c>
      <c r="Q49" t="s">
        <v>14</v>
      </c>
      <c r="R49" t="s">
        <v>48</v>
      </c>
      <c r="S49" t="s">
        <v>49</v>
      </c>
      <c r="T49" t="s">
        <v>51</v>
      </c>
      <c r="U49" s="7" t="s">
        <v>16</v>
      </c>
      <c r="V49" s="7"/>
    </row>
    <row r="50" spans="1:22" x14ac:dyDescent="0.3">
      <c r="A50" s="6"/>
      <c r="F50" s="6" t="s">
        <v>44</v>
      </c>
      <c r="G50">
        <v>1446.85</v>
      </c>
      <c r="H50">
        <v>2</v>
      </c>
      <c r="I50">
        <v>1.28</v>
      </c>
      <c r="J50">
        <v>200</v>
      </c>
      <c r="K50">
        <v>2.38</v>
      </c>
      <c r="L50">
        <f>1+6*J50/(J50+2000)+K50</f>
        <v>3.9254545454545453</v>
      </c>
      <c r="M50">
        <v>0.85</v>
      </c>
      <c r="N50">
        <v>2.2200000000000002</v>
      </c>
      <c r="O50">
        <f>1+M50*N50</f>
        <v>2.887</v>
      </c>
      <c r="P50">
        <v>0.9</v>
      </c>
      <c r="Q50">
        <v>1</v>
      </c>
      <c r="R50">
        <v>0.6</v>
      </c>
      <c r="S50">
        <f>G50*H50*I50*L50*O50*P50*Q50*R50</f>
        <v>22666.996130290037</v>
      </c>
      <c r="T50">
        <v>2</v>
      </c>
      <c r="U50" s="7">
        <f>T52*T50</f>
        <v>59645.281557525501</v>
      </c>
      <c r="V50" s="7"/>
    </row>
    <row r="51" spans="1:22" x14ac:dyDescent="0.3">
      <c r="A51" s="6"/>
      <c r="F51" s="6" t="s">
        <v>45</v>
      </c>
      <c r="G51">
        <v>1446.85</v>
      </c>
      <c r="H51">
        <v>2</v>
      </c>
      <c r="I51">
        <v>1.28</v>
      </c>
      <c r="J51">
        <v>0</v>
      </c>
      <c r="K51">
        <v>1.9</v>
      </c>
      <c r="L51">
        <f t="shared" ref="L51:L53" si="28">1+6*J51/(J51+2000)+K51</f>
        <v>2.9</v>
      </c>
      <c r="M51">
        <v>0.5</v>
      </c>
      <c r="N51">
        <v>1.5</v>
      </c>
      <c r="O51">
        <f t="shared" ref="O51:O53" si="29">1+M51*N51</f>
        <v>1.75</v>
      </c>
      <c r="P51">
        <v>0.9</v>
      </c>
      <c r="Q51">
        <v>1</v>
      </c>
      <c r="R51">
        <v>0.3</v>
      </c>
      <c r="S51">
        <f t="shared" ref="S51:S53" si="30">G51*H51*I51*L51*O51*P51*Q51*R51</f>
        <v>5075.3183039999994</v>
      </c>
      <c r="T51" t="s">
        <v>15</v>
      </c>
      <c r="U51" s="7"/>
      <c r="V51" s="7"/>
    </row>
    <row r="52" spans="1:22" x14ac:dyDescent="0.3">
      <c r="A52" s="6"/>
      <c r="F52" s="6" t="s">
        <v>46</v>
      </c>
      <c r="G52">
        <v>1446.85</v>
      </c>
      <c r="H52">
        <v>2</v>
      </c>
      <c r="I52">
        <v>1.28</v>
      </c>
      <c r="J52">
        <v>20</v>
      </c>
      <c r="K52">
        <v>1.3</v>
      </c>
      <c r="L52">
        <f t="shared" si="28"/>
        <v>2.3594059405940593</v>
      </c>
      <c r="M52">
        <v>0.93</v>
      </c>
      <c r="N52">
        <v>2.2999999999999998</v>
      </c>
      <c r="O52">
        <f t="shared" si="29"/>
        <v>3.1389999999999998</v>
      </c>
      <c r="P52">
        <v>0.9</v>
      </c>
      <c r="Q52">
        <v>1</v>
      </c>
      <c r="R52">
        <v>0.05</v>
      </c>
      <c r="S52">
        <f t="shared" si="30"/>
        <v>1234.4399604727125</v>
      </c>
      <c r="T52">
        <f>SUM(S50:S53)</f>
        <v>29822.64077876275</v>
      </c>
      <c r="U52" s="7"/>
      <c r="V52" s="7"/>
    </row>
    <row r="53" spans="1:22" ht="14.5" thickBot="1" x14ac:dyDescent="0.35">
      <c r="A53" s="6"/>
      <c r="F53" s="8" t="s">
        <v>47</v>
      </c>
      <c r="G53" s="9">
        <v>1446.85</v>
      </c>
      <c r="H53" s="9">
        <v>2</v>
      </c>
      <c r="I53" s="9">
        <v>1.28</v>
      </c>
      <c r="J53" s="9">
        <v>0</v>
      </c>
      <c r="K53" s="9">
        <v>1.9</v>
      </c>
      <c r="L53" s="9">
        <f t="shared" si="28"/>
        <v>2.9</v>
      </c>
      <c r="M53">
        <v>0.5</v>
      </c>
      <c r="N53" s="9">
        <v>1.5</v>
      </c>
      <c r="O53" s="9">
        <f t="shared" si="29"/>
        <v>1.75</v>
      </c>
      <c r="P53" s="9">
        <v>0.9</v>
      </c>
      <c r="Q53" s="9">
        <v>1</v>
      </c>
      <c r="R53" s="9">
        <v>0.05</v>
      </c>
      <c r="S53" s="9">
        <f t="shared" si="30"/>
        <v>845.88638400000002</v>
      </c>
      <c r="T53" s="9"/>
      <c r="U53" s="10"/>
      <c r="V53" s="7"/>
    </row>
    <row r="54" spans="1:22" ht="14.5" thickBot="1" x14ac:dyDescent="0.35">
      <c r="A54" s="6"/>
      <c r="F54" s="23" t="s">
        <v>54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7"/>
    </row>
    <row r="55" spans="1:22" x14ac:dyDescent="0.3">
      <c r="A55" s="6"/>
      <c r="F55" s="3"/>
      <c r="G55" s="4" t="s">
        <v>42</v>
      </c>
      <c r="H55" s="4" t="s">
        <v>52</v>
      </c>
      <c r="I55" s="4" t="s">
        <v>6</v>
      </c>
      <c r="J55" s="4" t="s">
        <v>2</v>
      </c>
      <c r="K55" s="4" t="s">
        <v>18</v>
      </c>
      <c r="L55" s="4" t="s">
        <v>9</v>
      </c>
      <c r="M55" s="4" t="s">
        <v>0</v>
      </c>
      <c r="N55" s="4" t="s">
        <v>11</v>
      </c>
      <c r="O55" s="4" t="s">
        <v>12</v>
      </c>
      <c r="P55" s="4" t="s">
        <v>13</v>
      </c>
      <c r="Q55" s="4" t="s">
        <v>14</v>
      </c>
      <c r="R55" s="4" t="s">
        <v>48</v>
      </c>
      <c r="S55" s="4" t="s">
        <v>49</v>
      </c>
      <c r="T55" s="4" t="s">
        <v>51</v>
      </c>
      <c r="U55" s="5" t="s">
        <v>16</v>
      </c>
      <c r="V55" s="7"/>
    </row>
    <row r="56" spans="1:22" x14ac:dyDescent="0.3">
      <c r="A56" s="6"/>
      <c r="F56" s="6" t="s">
        <v>44</v>
      </c>
      <c r="G56">
        <v>1446.85</v>
      </c>
      <c r="H56">
        <v>0.75</v>
      </c>
      <c r="I56">
        <v>1.28</v>
      </c>
      <c r="J56">
        <v>0</v>
      </c>
      <c r="K56">
        <v>1.9</v>
      </c>
      <c r="L56">
        <f t="shared" ref="L56" si="31">1+6*J56/(J56+2000)+K56</f>
        <v>2.9</v>
      </c>
      <c r="M56">
        <v>0.5</v>
      </c>
      <c r="N56">
        <v>1.5</v>
      </c>
      <c r="O56">
        <f t="shared" ref="O56" si="32">1+M56*N56</f>
        <v>1.75</v>
      </c>
      <c r="P56">
        <v>0.9</v>
      </c>
      <c r="Q56">
        <v>1</v>
      </c>
      <c r="R56">
        <v>0.6</v>
      </c>
      <c r="S56">
        <f>G56*H56*I56*L56*O56*P56*Q56*R56</f>
        <v>3806.4887279999994</v>
      </c>
      <c r="T56">
        <v>4</v>
      </c>
      <c r="U56" s="7">
        <f>T58*T56</f>
        <v>40935.785030433974</v>
      </c>
      <c r="V56" s="7"/>
    </row>
    <row r="57" spans="1:22" x14ac:dyDescent="0.3">
      <c r="A57" s="6"/>
      <c r="F57" s="6" t="s">
        <v>45</v>
      </c>
      <c r="G57">
        <v>1446.85</v>
      </c>
      <c r="H57">
        <v>0.75</v>
      </c>
      <c r="I57">
        <v>1.28</v>
      </c>
      <c r="J57">
        <v>200</v>
      </c>
      <c r="K57">
        <v>2.38</v>
      </c>
      <c r="L57">
        <f>1+6*J57/(J57+2000)+K57</f>
        <v>3.9254545454545453</v>
      </c>
      <c r="M57">
        <v>0.85</v>
      </c>
      <c r="N57">
        <v>2.2200000000000002</v>
      </c>
      <c r="O57">
        <f>1+M57*N57</f>
        <v>2.887</v>
      </c>
      <c r="P57">
        <v>1.1499999999999999</v>
      </c>
      <c r="Q57">
        <v>1</v>
      </c>
      <c r="R57">
        <v>0.3</v>
      </c>
      <c r="S57">
        <f t="shared" ref="S57:S59" si="33">G57*H57*I57*L57*O57*P57*Q57*R57</f>
        <v>5430.6344895486536</v>
      </c>
      <c r="T57" t="s">
        <v>15</v>
      </c>
      <c r="U57" s="7"/>
      <c r="V57" s="7"/>
    </row>
    <row r="58" spans="1:22" x14ac:dyDescent="0.3">
      <c r="A58" s="6"/>
      <c r="F58" s="6" t="s">
        <v>46</v>
      </c>
      <c r="G58">
        <v>1446.85</v>
      </c>
      <c r="H58">
        <v>0.75</v>
      </c>
      <c r="I58">
        <v>1.28</v>
      </c>
      <c r="J58">
        <v>20</v>
      </c>
      <c r="K58">
        <v>1.3</v>
      </c>
      <c r="L58">
        <f t="shared" ref="L58:L59" si="34">1+6*J58/(J58+2000)+K58</f>
        <v>2.3594059405940593</v>
      </c>
      <c r="M58">
        <v>0.93</v>
      </c>
      <c r="N58">
        <v>2.2999999999999998</v>
      </c>
      <c r="O58">
        <f t="shared" ref="O58:O59" si="35">1+M58*N58</f>
        <v>3.1389999999999998</v>
      </c>
      <c r="P58">
        <v>1.1499999999999999</v>
      </c>
      <c r="Q58">
        <v>1</v>
      </c>
      <c r="R58">
        <v>0.05</v>
      </c>
      <c r="S58">
        <f t="shared" si="33"/>
        <v>591.50248105984144</v>
      </c>
      <c r="T58">
        <f>SUM(S56:S59)</f>
        <v>10233.946257608493</v>
      </c>
      <c r="U58" s="7"/>
      <c r="V58" s="7"/>
    </row>
    <row r="59" spans="1:22" x14ac:dyDescent="0.3">
      <c r="A59" s="6"/>
      <c r="F59" s="6" t="s">
        <v>47</v>
      </c>
      <c r="G59">
        <v>1446.85</v>
      </c>
      <c r="H59">
        <v>0.75</v>
      </c>
      <c r="I59">
        <v>1.28</v>
      </c>
      <c r="J59">
        <v>0</v>
      </c>
      <c r="K59">
        <v>1.9</v>
      </c>
      <c r="L59">
        <f t="shared" si="34"/>
        <v>2.9</v>
      </c>
      <c r="M59">
        <v>0.5</v>
      </c>
      <c r="N59">
        <v>1.5</v>
      </c>
      <c r="O59">
        <f t="shared" si="35"/>
        <v>1.75</v>
      </c>
      <c r="P59">
        <v>1.1499999999999999</v>
      </c>
      <c r="Q59">
        <v>1</v>
      </c>
      <c r="R59">
        <v>0.05</v>
      </c>
      <c r="S59">
        <f t="shared" si="33"/>
        <v>405.32055899999995</v>
      </c>
      <c r="U59" s="7"/>
      <c r="V59" s="7"/>
    </row>
    <row r="60" spans="1:22" x14ac:dyDescent="0.3">
      <c r="A60" s="6"/>
      <c r="F60" s="6"/>
      <c r="U60" s="7"/>
      <c r="V60" s="7"/>
    </row>
    <row r="61" spans="1:22" x14ac:dyDescent="0.3">
      <c r="A61" s="6"/>
      <c r="F61" s="6"/>
      <c r="G61" t="s">
        <v>42</v>
      </c>
      <c r="H61" t="s">
        <v>52</v>
      </c>
      <c r="I61" t="s">
        <v>6</v>
      </c>
      <c r="J61" t="s">
        <v>2</v>
      </c>
      <c r="K61" t="s">
        <v>18</v>
      </c>
      <c r="L61" t="s">
        <v>9</v>
      </c>
      <c r="M61" t="s">
        <v>0</v>
      </c>
      <c r="N61" t="s">
        <v>11</v>
      </c>
      <c r="O61" t="s">
        <v>12</v>
      </c>
      <c r="P61" t="s">
        <v>13</v>
      </c>
      <c r="Q61" t="s">
        <v>14</v>
      </c>
      <c r="R61" t="s">
        <v>48</v>
      </c>
      <c r="S61" t="s">
        <v>49</v>
      </c>
      <c r="T61" t="s">
        <v>51</v>
      </c>
      <c r="U61" s="7" t="s">
        <v>16</v>
      </c>
      <c r="V61" s="7"/>
    </row>
    <row r="62" spans="1:22" x14ac:dyDescent="0.3">
      <c r="A62" s="6"/>
      <c r="F62" s="6" t="s">
        <v>44</v>
      </c>
      <c r="G62">
        <v>1446.85</v>
      </c>
      <c r="H62">
        <v>0.75</v>
      </c>
      <c r="I62">
        <v>1.28</v>
      </c>
      <c r="J62">
        <v>0</v>
      </c>
      <c r="K62">
        <v>1.9</v>
      </c>
      <c r="L62">
        <f t="shared" ref="L62" si="36">1+6*J62/(J62+2000)+K62</f>
        <v>2.9</v>
      </c>
      <c r="M62">
        <v>0.5</v>
      </c>
      <c r="N62">
        <v>1.5</v>
      </c>
      <c r="O62">
        <f t="shared" ref="O62" si="37">1+M62*N62</f>
        <v>1.75</v>
      </c>
      <c r="P62">
        <v>0.9</v>
      </c>
      <c r="Q62">
        <v>1</v>
      </c>
      <c r="R62">
        <v>0.6</v>
      </c>
      <c r="S62">
        <f>G62*H62*I62*L62*O62*P62*Q62*R62</f>
        <v>3806.4887279999994</v>
      </c>
      <c r="T62">
        <v>2</v>
      </c>
      <c r="U62" s="7">
        <f>T64*T62</f>
        <v>18106.747084978444</v>
      </c>
      <c r="V62" s="7"/>
    </row>
    <row r="63" spans="1:22" x14ac:dyDescent="0.3">
      <c r="A63" s="6"/>
      <c r="F63" s="6" t="s">
        <v>45</v>
      </c>
      <c r="G63">
        <v>1446.85</v>
      </c>
      <c r="H63">
        <v>0.75</v>
      </c>
      <c r="I63">
        <v>1.28</v>
      </c>
      <c r="J63">
        <v>200</v>
      </c>
      <c r="K63">
        <v>2.38</v>
      </c>
      <c r="L63">
        <f>1+6*J63/(J63+2000)+K63</f>
        <v>3.9254545454545453</v>
      </c>
      <c r="M63">
        <v>0.85</v>
      </c>
      <c r="N63">
        <v>2.2200000000000002</v>
      </c>
      <c r="O63">
        <f>1+M63*N63</f>
        <v>2.887</v>
      </c>
      <c r="P63">
        <v>0.9</v>
      </c>
      <c r="Q63">
        <v>1</v>
      </c>
      <c r="R63">
        <v>0.3</v>
      </c>
      <c r="S63">
        <f t="shared" ref="S63:S65" si="38">G63*H63*I63*L63*O63*P63*Q63*R63</f>
        <v>4250.0617744293813</v>
      </c>
      <c r="T63" t="s">
        <v>15</v>
      </c>
      <c r="U63" s="7"/>
      <c r="V63" s="7"/>
    </row>
    <row r="64" spans="1:22" x14ac:dyDescent="0.3">
      <c r="A64" s="6"/>
      <c r="F64" s="6" t="s">
        <v>46</v>
      </c>
      <c r="G64">
        <v>1446.85</v>
      </c>
      <c r="H64">
        <v>0.75</v>
      </c>
      <c r="I64">
        <v>1.28</v>
      </c>
      <c r="J64">
        <v>20</v>
      </c>
      <c r="K64">
        <v>1.3</v>
      </c>
      <c r="L64">
        <f t="shared" ref="L64:L65" si="39">1+6*J64/(J64+2000)+K64</f>
        <v>2.3594059405940593</v>
      </c>
      <c r="M64">
        <v>0.93</v>
      </c>
      <c r="N64">
        <v>2.2999999999999998</v>
      </c>
      <c r="O64">
        <f t="shared" ref="O64:O65" si="40">1+M64*N64</f>
        <v>3.1389999999999998</v>
      </c>
      <c r="P64">
        <v>1.1499999999999999</v>
      </c>
      <c r="Q64">
        <v>1</v>
      </c>
      <c r="R64">
        <v>0.05</v>
      </c>
      <c r="S64">
        <f t="shared" si="38"/>
        <v>591.50248105984144</v>
      </c>
      <c r="T64">
        <f>SUM(S62:S65)</f>
        <v>9053.373542489222</v>
      </c>
      <c r="U64" s="7"/>
      <c r="V64" s="7"/>
    </row>
    <row r="65" spans="1:22" ht="14.5" thickBot="1" x14ac:dyDescent="0.35">
      <c r="A65" s="8"/>
      <c r="B65" s="9"/>
      <c r="C65" s="9"/>
      <c r="D65" s="9"/>
      <c r="E65" s="9"/>
      <c r="F65" s="8" t="s">
        <v>47</v>
      </c>
      <c r="G65" s="9">
        <v>1446.85</v>
      </c>
      <c r="H65" s="9">
        <v>0.75</v>
      </c>
      <c r="I65" s="9">
        <v>1.28</v>
      </c>
      <c r="J65" s="9">
        <v>0</v>
      </c>
      <c r="K65" s="9">
        <v>1.9</v>
      </c>
      <c r="L65" s="9">
        <f t="shared" si="39"/>
        <v>2.9</v>
      </c>
      <c r="M65" s="9">
        <v>0.5</v>
      </c>
      <c r="N65" s="9">
        <v>1.5</v>
      </c>
      <c r="O65" s="9">
        <f t="shared" si="40"/>
        <v>1.75</v>
      </c>
      <c r="P65" s="9">
        <v>1.1499999999999999</v>
      </c>
      <c r="Q65" s="9">
        <v>1</v>
      </c>
      <c r="R65" s="9">
        <v>0.05</v>
      </c>
      <c r="S65" s="9">
        <f t="shared" si="38"/>
        <v>405.32055899999995</v>
      </c>
      <c r="T65" s="9"/>
      <c r="U65" s="10"/>
      <c r="V65" s="10"/>
    </row>
    <row r="69" spans="1:22" ht="14.5" thickBot="1" x14ac:dyDescent="0.35"/>
    <row r="70" spans="1:22" x14ac:dyDescent="0.3">
      <c r="A70" s="15" t="s">
        <v>65</v>
      </c>
      <c r="B70" s="16"/>
      <c r="C70" s="16"/>
      <c r="D70" s="17"/>
      <c r="E70" s="4"/>
      <c r="F70" s="4" t="s">
        <v>4</v>
      </c>
      <c r="G70" s="4" t="s">
        <v>1</v>
      </c>
      <c r="H70" s="4" t="s">
        <v>5</v>
      </c>
      <c r="I70" s="4" t="s">
        <v>6</v>
      </c>
      <c r="J70" s="4" t="s">
        <v>7</v>
      </c>
      <c r="K70" s="4" t="s">
        <v>8</v>
      </c>
      <c r="L70" s="4" t="s">
        <v>2</v>
      </c>
      <c r="M70" s="4" t="s">
        <v>18</v>
      </c>
      <c r="N70" s="4" t="s">
        <v>9</v>
      </c>
      <c r="O70" s="4" t="s">
        <v>10</v>
      </c>
      <c r="P70" s="4" t="s">
        <v>0</v>
      </c>
      <c r="Q70" s="4" t="s">
        <v>11</v>
      </c>
      <c r="R70" s="4" t="s">
        <v>12</v>
      </c>
      <c r="S70" s="4" t="s">
        <v>13</v>
      </c>
      <c r="T70" s="4" t="s">
        <v>14</v>
      </c>
      <c r="U70" s="4" t="s">
        <v>15</v>
      </c>
      <c r="V70" s="5" t="s">
        <v>16</v>
      </c>
    </row>
    <row r="71" spans="1:22" x14ac:dyDescent="0.3">
      <c r="A71" s="18" t="s">
        <v>27</v>
      </c>
      <c r="B71" s="1" t="s">
        <v>25</v>
      </c>
      <c r="C71" s="1" t="s">
        <v>26</v>
      </c>
      <c r="D71" s="1" t="s">
        <v>28</v>
      </c>
      <c r="F71" t="s">
        <v>17</v>
      </c>
      <c r="G71">
        <f>3199+488+203</f>
        <v>3890</v>
      </c>
      <c r="H71">
        <v>2.4224999999999999</v>
      </c>
      <c r="I71">
        <v>1.28</v>
      </c>
      <c r="J71">
        <v>1</v>
      </c>
      <c r="K71">
        <f>G71*H71*I71*J71</f>
        <v>12062.111999999999</v>
      </c>
      <c r="L71">
        <v>200</v>
      </c>
      <c r="M71">
        <v>2.68</v>
      </c>
      <c r="N71">
        <f>1+6*L71/(L71+2000)+M71</f>
        <v>4.2254545454545456</v>
      </c>
      <c r="O71">
        <v>0</v>
      </c>
      <c r="P71">
        <v>0.85</v>
      </c>
      <c r="Q71">
        <v>2.2200000000000002</v>
      </c>
      <c r="R71">
        <f>1+P71*Q71</f>
        <v>2.887</v>
      </c>
      <c r="S71">
        <v>1.1499999999999999</v>
      </c>
      <c r="T71">
        <v>1</v>
      </c>
      <c r="U71">
        <f>(K71*N71+O71)*R71*S71*T71</f>
        <v>169215.99624286251</v>
      </c>
      <c r="V71" s="7">
        <f>SUM(U71:U85)</f>
        <v>2774478.3450619197</v>
      </c>
    </row>
    <row r="72" spans="1:22" x14ac:dyDescent="0.3">
      <c r="A72" s="18"/>
      <c r="B72" s="1">
        <f>B74+B76+B78</f>
        <v>4135837.0732412394</v>
      </c>
      <c r="C72" s="1">
        <f>B72/D72</f>
        <v>192364.51503447627</v>
      </c>
      <c r="D72" s="1">
        <v>21.5</v>
      </c>
      <c r="F72" t="s">
        <v>17</v>
      </c>
      <c r="G72">
        <f t="shared" ref="G72:G78" si="41">3199+488+203</f>
        <v>3890</v>
      </c>
      <c r="H72">
        <v>2.4224999999999999</v>
      </c>
      <c r="I72">
        <v>1.28</v>
      </c>
      <c r="J72">
        <v>1</v>
      </c>
      <c r="K72">
        <f t="shared" ref="K72:K78" si="42">G72*H72*I72*J72</f>
        <v>12062.111999999999</v>
      </c>
      <c r="L72">
        <v>200</v>
      </c>
      <c r="M72">
        <v>2.68</v>
      </c>
      <c r="N72">
        <f t="shared" ref="N72:N78" si="43">1+6*L72/(L72+2000)+M72</f>
        <v>4.2254545454545456</v>
      </c>
      <c r="O72">
        <v>0</v>
      </c>
      <c r="P72">
        <v>0.85</v>
      </c>
      <c r="Q72">
        <v>2.2200000000000002</v>
      </c>
      <c r="R72">
        <f t="shared" ref="R72:R78" si="44">1+P72*Q72</f>
        <v>2.887</v>
      </c>
      <c r="S72">
        <v>1.1499999999999999</v>
      </c>
      <c r="T72">
        <v>1</v>
      </c>
      <c r="U72">
        <f t="shared" ref="U72:U78" si="45">(K72*N72+O72)*R72*S72*T72</f>
        <v>169215.99624286251</v>
      </c>
      <c r="V72" s="7"/>
    </row>
    <row r="73" spans="1:22" x14ac:dyDescent="0.3">
      <c r="A73" s="18"/>
      <c r="B73" s="1" t="s">
        <v>29</v>
      </c>
      <c r="C73" s="1" t="s">
        <v>30</v>
      </c>
      <c r="D73" s="1"/>
      <c r="F73" t="s">
        <v>17</v>
      </c>
      <c r="G73">
        <f t="shared" si="41"/>
        <v>3890</v>
      </c>
      <c r="H73">
        <v>2.4224999999999999</v>
      </c>
      <c r="I73">
        <v>1.28</v>
      </c>
      <c r="J73">
        <v>1</v>
      </c>
      <c r="K73">
        <f t="shared" si="42"/>
        <v>12062.111999999999</v>
      </c>
      <c r="L73">
        <v>200</v>
      </c>
      <c r="M73">
        <v>2.68</v>
      </c>
      <c r="N73">
        <f t="shared" si="43"/>
        <v>4.2254545454545456</v>
      </c>
      <c r="O73">
        <v>0</v>
      </c>
      <c r="P73">
        <v>0.85</v>
      </c>
      <c r="Q73">
        <v>2.2200000000000002</v>
      </c>
      <c r="R73">
        <f t="shared" si="44"/>
        <v>2.887</v>
      </c>
      <c r="S73">
        <v>1.1499999999999999</v>
      </c>
      <c r="T73">
        <v>1</v>
      </c>
      <c r="U73">
        <f t="shared" si="45"/>
        <v>169215.99624286251</v>
      </c>
      <c r="V73" s="7"/>
    </row>
    <row r="74" spans="1:22" x14ac:dyDescent="0.3">
      <c r="A74" s="18"/>
      <c r="B74" s="1">
        <f>V71+T88</f>
        <v>3181223.5550474096</v>
      </c>
      <c r="C74" s="2">
        <f>B74/B72</f>
        <v>0.76918493129960197</v>
      </c>
      <c r="D74" s="1"/>
      <c r="F74" t="s">
        <v>17</v>
      </c>
      <c r="G74">
        <f t="shared" si="41"/>
        <v>3890</v>
      </c>
      <c r="H74">
        <v>2.4224999999999999</v>
      </c>
      <c r="I74">
        <v>1.28</v>
      </c>
      <c r="J74">
        <v>1</v>
      </c>
      <c r="K74">
        <f t="shared" si="42"/>
        <v>12062.111999999999</v>
      </c>
      <c r="L74">
        <v>200</v>
      </c>
      <c r="M74">
        <v>2.68</v>
      </c>
      <c r="N74">
        <f t="shared" si="43"/>
        <v>4.2254545454545456</v>
      </c>
      <c r="O74">
        <v>0</v>
      </c>
      <c r="P74">
        <v>0.85</v>
      </c>
      <c r="Q74">
        <v>2.2200000000000002</v>
      </c>
      <c r="R74">
        <f t="shared" si="44"/>
        <v>2.887</v>
      </c>
      <c r="S74">
        <v>1.1499999999999999</v>
      </c>
      <c r="T74">
        <v>1</v>
      </c>
      <c r="U74">
        <f t="shared" si="45"/>
        <v>169215.99624286251</v>
      </c>
      <c r="V74" s="7"/>
    </row>
    <row r="75" spans="1:22" x14ac:dyDescent="0.3">
      <c r="A75" s="18"/>
      <c r="B75" s="1" t="s">
        <v>31</v>
      </c>
      <c r="C75" s="2" t="s">
        <v>30</v>
      </c>
      <c r="D75" s="1"/>
      <c r="F75" t="s">
        <v>17</v>
      </c>
      <c r="G75">
        <f t="shared" si="41"/>
        <v>3890</v>
      </c>
      <c r="H75">
        <v>2.4224999999999999</v>
      </c>
      <c r="I75">
        <v>1.28</v>
      </c>
      <c r="J75">
        <v>1</v>
      </c>
      <c r="K75">
        <f t="shared" si="42"/>
        <v>12062.111999999999</v>
      </c>
      <c r="L75">
        <v>200</v>
      </c>
      <c r="M75">
        <v>2.68</v>
      </c>
      <c r="N75">
        <f t="shared" si="43"/>
        <v>4.2254545454545456</v>
      </c>
      <c r="O75">
        <v>0</v>
      </c>
      <c r="P75">
        <v>0.85</v>
      </c>
      <c r="Q75">
        <v>2.2200000000000002</v>
      </c>
      <c r="R75">
        <f t="shared" si="44"/>
        <v>2.887</v>
      </c>
      <c r="S75">
        <v>1.1499999999999999</v>
      </c>
      <c r="T75">
        <v>1</v>
      </c>
      <c r="U75">
        <f t="shared" si="45"/>
        <v>169215.99624286251</v>
      </c>
      <c r="V75" s="7"/>
    </row>
    <row r="76" spans="1:22" x14ac:dyDescent="0.3">
      <c r="A76" s="18"/>
      <c r="B76" s="1">
        <f>V96+T109</f>
        <v>747217.5430760592</v>
      </c>
      <c r="C76" s="2">
        <f>B76/B72</f>
        <v>0.18066899876461229</v>
      </c>
      <c r="D76" s="1"/>
      <c r="F76" t="s">
        <v>17</v>
      </c>
      <c r="G76">
        <f t="shared" si="41"/>
        <v>3890</v>
      </c>
      <c r="H76">
        <v>2.4224999999999999</v>
      </c>
      <c r="I76">
        <v>1.28</v>
      </c>
      <c r="J76">
        <v>1</v>
      </c>
      <c r="K76">
        <f t="shared" si="42"/>
        <v>12062.111999999999</v>
      </c>
      <c r="L76">
        <v>200</v>
      </c>
      <c r="M76">
        <v>2.68</v>
      </c>
      <c r="N76">
        <f t="shared" si="43"/>
        <v>4.2254545454545456</v>
      </c>
      <c r="O76">
        <v>0</v>
      </c>
      <c r="P76">
        <v>0.85</v>
      </c>
      <c r="Q76">
        <v>2.2200000000000002</v>
      </c>
      <c r="R76">
        <f t="shared" si="44"/>
        <v>2.887</v>
      </c>
      <c r="S76">
        <v>1.1499999999999999</v>
      </c>
      <c r="T76">
        <v>1</v>
      </c>
      <c r="U76">
        <f t="shared" si="45"/>
        <v>169215.99624286251</v>
      </c>
      <c r="V76" s="7"/>
    </row>
    <row r="77" spans="1:22" x14ac:dyDescent="0.3">
      <c r="A77" s="18"/>
      <c r="B77" s="1" t="s">
        <v>50</v>
      </c>
      <c r="C77" s="2" t="s">
        <v>30</v>
      </c>
      <c r="D77" s="1"/>
      <c r="F77" s="6" t="s">
        <v>20</v>
      </c>
      <c r="G77">
        <f t="shared" si="41"/>
        <v>3890</v>
      </c>
      <c r="H77">
        <v>5.9543999999999997</v>
      </c>
      <c r="I77">
        <v>1.28</v>
      </c>
      <c r="J77">
        <v>2</v>
      </c>
      <c r="K77">
        <f t="shared" si="42"/>
        <v>59296.29696</v>
      </c>
      <c r="L77">
        <v>200</v>
      </c>
      <c r="M77">
        <v>2.68</v>
      </c>
      <c r="N77">
        <f t="shared" si="43"/>
        <v>4.2254545454545456</v>
      </c>
      <c r="O77">
        <v>0</v>
      </c>
      <c r="P77">
        <v>0.85</v>
      </c>
      <c r="Q77">
        <v>2.2200000000000002</v>
      </c>
      <c r="R77">
        <f t="shared" si="44"/>
        <v>2.887</v>
      </c>
      <c r="S77">
        <v>1.1499999999999999</v>
      </c>
      <c r="T77">
        <v>1</v>
      </c>
      <c r="U77">
        <f t="shared" si="45"/>
        <v>831851.16865098092</v>
      </c>
      <c r="V77" s="7"/>
    </row>
    <row r="78" spans="1:22" x14ac:dyDescent="0.3">
      <c r="A78" s="18"/>
      <c r="B78" s="1">
        <f>U114+U120+U126+U132</f>
        <v>207395.97511777069</v>
      </c>
      <c r="C78" s="2">
        <f>B78/B72</f>
        <v>5.0146069935785763E-2</v>
      </c>
      <c r="D78" s="1"/>
      <c r="F78" s="6" t="s">
        <v>19</v>
      </c>
      <c r="G78">
        <f t="shared" si="41"/>
        <v>3890</v>
      </c>
      <c r="H78">
        <v>0.58320000000000005</v>
      </c>
      <c r="I78">
        <v>1.28</v>
      </c>
      <c r="J78">
        <v>4</v>
      </c>
      <c r="K78">
        <f t="shared" si="42"/>
        <v>11615.477760000002</v>
      </c>
      <c r="L78">
        <v>200</v>
      </c>
      <c r="M78">
        <v>2.68</v>
      </c>
      <c r="N78">
        <f t="shared" si="43"/>
        <v>4.2254545454545456</v>
      </c>
      <c r="O78">
        <v>0</v>
      </c>
      <c r="P78">
        <v>0.85</v>
      </c>
      <c r="Q78">
        <v>2.2200000000000002</v>
      </c>
      <c r="R78">
        <f t="shared" si="44"/>
        <v>2.887</v>
      </c>
      <c r="S78">
        <v>1.1499999999999999</v>
      </c>
      <c r="T78">
        <v>1</v>
      </c>
      <c r="U78">
        <f t="shared" si="45"/>
        <v>162950.28938507731</v>
      </c>
      <c r="V78" s="7"/>
    </row>
    <row r="79" spans="1:22" x14ac:dyDescent="0.3">
      <c r="A79" s="6"/>
      <c r="F79" t="s">
        <v>17</v>
      </c>
      <c r="G79">
        <f>3199+488+203</f>
        <v>3890</v>
      </c>
      <c r="H79">
        <v>2.4224999999999999</v>
      </c>
      <c r="I79">
        <v>1.28</v>
      </c>
      <c r="J79">
        <v>1</v>
      </c>
      <c r="K79">
        <f>G79*H79*I79*J79</f>
        <v>12062.111999999999</v>
      </c>
      <c r="L79">
        <v>200</v>
      </c>
      <c r="M79">
        <v>2.68</v>
      </c>
      <c r="N79">
        <f>1+6*L79/(L79+2000)+M79</f>
        <v>4.2254545454545456</v>
      </c>
      <c r="O79">
        <v>0</v>
      </c>
      <c r="P79">
        <v>0.85</v>
      </c>
      <c r="Q79">
        <v>2.2200000000000002</v>
      </c>
      <c r="R79">
        <f>1+P79*Q79</f>
        <v>2.887</v>
      </c>
      <c r="S79">
        <v>0.9</v>
      </c>
      <c r="T79">
        <v>1</v>
      </c>
      <c r="U79">
        <f>(K79*N79+O79)*R79*S79*T79</f>
        <v>132429.91010310981</v>
      </c>
      <c r="V79" s="7"/>
    </row>
    <row r="80" spans="1:22" x14ac:dyDescent="0.3">
      <c r="A80" s="6"/>
      <c r="F80" t="s">
        <v>17</v>
      </c>
      <c r="G80">
        <f>3199+203</f>
        <v>3402</v>
      </c>
      <c r="H80">
        <v>2.4224999999999999</v>
      </c>
      <c r="I80">
        <v>1.28</v>
      </c>
      <c r="J80">
        <v>1</v>
      </c>
      <c r="K80">
        <f t="shared" ref="K80:K85" si="46">G80*H80*I80*J80</f>
        <v>10548.9216</v>
      </c>
      <c r="L80">
        <v>200</v>
      </c>
      <c r="M80">
        <v>2.68</v>
      </c>
      <c r="N80">
        <f t="shared" ref="N80:N85" si="47">1+6*L80/(L80+2000)+M80</f>
        <v>4.2254545454545456</v>
      </c>
      <c r="O80">
        <v>0</v>
      </c>
      <c r="P80">
        <v>0.85</v>
      </c>
      <c r="Q80">
        <v>2.2200000000000002</v>
      </c>
      <c r="R80">
        <f t="shared" ref="R80:R85" si="48">1+P80*Q80</f>
        <v>2.887</v>
      </c>
      <c r="S80">
        <v>0.9</v>
      </c>
      <c r="T80">
        <v>1</v>
      </c>
      <c r="U80">
        <f t="shared" ref="U80:U85" si="49">(K80*N80+O80)*R80*S80*T80</f>
        <v>115816.59490251404</v>
      </c>
      <c r="V80" s="7"/>
    </row>
    <row r="81" spans="1:22" x14ac:dyDescent="0.3">
      <c r="A81" s="6"/>
      <c r="F81" t="s">
        <v>17</v>
      </c>
      <c r="G81">
        <f t="shared" ref="G81:G82" si="50">3199+203</f>
        <v>3402</v>
      </c>
      <c r="H81">
        <v>2.4224999999999999</v>
      </c>
      <c r="I81">
        <v>1.28</v>
      </c>
      <c r="J81">
        <v>1</v>
      </c>
      <c r="K81">
        <f t="shared" si="46"/>
        <v>10548.9216</v>
      </c>
      <c r="L81">
        <v>200</v>
      </c>
      <c r="M81">
        <v>2.68</v>
      </c>
      <c r="N81">
        <f t="shared" si="47"/>
        <v>4.2254545454545456</v>
      </c>
      <c r="O81">
        <v>0</v>
      </c>
      <c r="P81">
        <v>0.85</v>
      </c>
      <c r="Q81">
        <v>2.2200000000000002</v>
      </c>
      <c r="R81">
        <f t="shared" si="48"/>
        <v>2.887</v>
      </c>
      <c r="S81">
        <v>0.9</v>
      </c>
      <c r="T81">
        <v>1</v>
      </c>
      <c r="U81">
        <f t="shared" si="49"/>
        <v>115816.59490251404</v>
      </c>
      <c r="V81" s="7"/>
    </row>
    <row r="82" spans="1:22" x14ac:dyDescent="0.3">
      <c r="A82" s="6"/>
      <c r="F82" t="s">
        <v>17</v>
      </c>
      <c r="G82">
        <f t="shared" si="50"/>
        <v>3402</v>
      </c>
      <c r="H82">
        <v>2.4224999999999999</v>
      </c>
      <c r="I82">
        <v>1.28</v>
      </c>
      <c r="J82">
        <v>1</v>
      </c>
      <c r="K82">
        <f t="shared" si="46"/>
        <v>10548.9216</v>
      </c>
      <c r="L82">
        <v>200</v>
      </c>
      <c r="M82">
        <v>2.68</v>
      </c>
      <c r="N82">
        <f t="shared" si="47"/>
        <v>4.2254545454545456</v>
      </c>
      <c r="O82">
        <v>0</v>
      </c>
      <c r="P82">
        <v>0.85</v>
      </c>
      <c r="Q82">
        <v>2.2200000000000002</v>
      </c>
      <c r="R82">
        <f t="shared" si="48"/>
        <v>2.887</v>
      </c>
      <c r="S82">
        <v>0.9</v>
      </c>
      <c r="T82">
        <v>1</v>
      </c>
      <c r="U82">
        <f t="shared" si="49"/>
        <v>115816.59490251404</v>
      </c>
      <c r="V82" s="7"/>
    </row>
    <row r="83" spans="1:22" x14ac:dyDescent="0.3">
      <c r="A83" s="6"/>
      <c r="F83" t="s">
        <v>17</v>
      </c>
      <c r="G83">
        <f>3199</f>
        <v>3199</v>
      </c>
      <c r="H83">
        <v>2.4224999999999999</v>
      </c>
      <c r="I83">
        <v>1.28</v>
      </c>
      <c r="J83">
        <v>1</v>
      </c>
      <c r="K83">
        <f t="shared" si="46"/>
        <v>9919.4591999999993</v>
      </c>
      <c r="L83">
        <v>200</v>
      </c>
      <c r="M83">
        <v>2.1800000000000002</v>
      </c>
      <c r="N83">
        <f t="shared" si="47"/>
        <v>3.7254545454545456</v>
      </c>
      <c r="O83">
        <v>0</v>
      </c>
      <c r="P83">
        <v>0.85</v>
      </c>
      <c r="Q83">
        <v>2.2200000000000002</v>
      </c>
      <c r="R83">
        <f t="shared" si="48"/>
        <v>2.887</v>
      </c>
      <c r="S83">
        <v>0.9</v>
      </c>
      <c r="T83">
        <v>1</v>
      </c>
      <c r="U83">
        <f t="shared" si="49"/>
        <v>96018.862708815694</v>
      </c>
      <c r="V83" s="7"/>
    </row>
    <row r="84" spans="1:22" x14ac:dyDescent="0.3">
      <c r="A84" s="6"/>
      <c r="F84" t="s">
        <v>17</v>
      </c>
      <c r="G84">
        <f>3199</f>
        <v>3199</v>
      </c>
      <c r="H84">
        <v>2.4224999999999999</v>
      </c>
      <c r="I84">
        <v>1.28</v>
      </c>
      <c r="J84">
        <v>1</v>
      </c>
      <c r="K84">
        <f t="shared" si="46"/>
        <v>9919.4591999999993</v>
      </c>
      <c r="L84">
        <v>200</v>
      </c>
      <c r="M84">
        <v>2.1800000000000002</v>
      </c>
      <c r="N84">
        <f t="shared" si="47"/>
        <v>3.7254545454545456</v>
      </c>
      <c r="O84">
        <v>0</v>
      </c>
      <c r="P84">
        <v>0.85</v>
      </c>
      <c r="Q84">
        <v>2.2200000000000002</v>
      </c>
      <c r="R84">
        <f t="shared" si="48"/>
        <v>2.887</v>
      </c>
      <c r="S84">
        <v>0.9</v>
      </c>
      <c r="T84">
        <v>1</v>
      </c>
      <c r="U84">
        <f t="shared" si="49"/>
        <v>96018.862708815694</v>
      </c>
      <c r="V84" s="7"/>
    </row>
    <row r="85" spans="1:22" x14ac:dyDescent="0.3">
      <c r="A85" s="6"/>
      <c r="F85" s="6" t="s">
        <v>19</v>
      </c>
      <c r="G85">
        <f>3199</f>
        <v>3199</v>
      </c>
      <c r="H85">
        <v>0.58320000000000005</v>
      </c>
      <c r="I85">
        <v>1.28</v>
      </c>
      <c r="J85">
        <v>4</v>
      </c>
      <c r="K85">
        <f t="shared" si="46"/>
        <v>9552.1628160000018</v>
      </c>
      <c r="L85">
        <v>200</v>
      </c>
      <c r="M85">
        <v>2.1800000000000002</v>
      </c>
      <c r="N85">
        <f t="shared" si="47"/>
        <v>3.7254545454545456</v>
      </c>
      <c r="O85">
        <v>0</v>
      </c>
      <c r="P85">
        <v>0.85</v>
      </c>
      <c r="Q85">
        <v>2.2200000000000002</v>
      </c>
      <c r="R85">
        <f t="shared" si="48"/>
        <v>2.887</v>
      </c>
      <c r="S85">
        <v>0.9</v>
      </c>
      <c r="T85">
        <v>1</v>
      </c>
      <c r="U85">
        <f t="shared" si="49"/>
        <v>92463.489340402608</v>
      </c>
      <c r="V85" s="7"/>
    </row>
    <row r="86" spans="1:22" x14ac:dyDescent="0.3">
      <c r="A86" s="6"/>
      <c r="V86" s="7"/>
    </row>
    <row r="87" spans="1:22" x14ac:dyDescent="0.3">
      <c r="A87" s="6"/>
      <c r="G87" t="s">
        <v>1</v>
      </c>
      <c r="H87" t="s">
        <v>5</v>
      </c>
      <c r="I87" t="s">
        <v>7</v>
      </c>
      <c r="J87" t="s">
        <v>7</v>
      </c>
      <c r="K87" t="s">
        <v>8</v>
      </c>
      <c r="L87" t="s">
        <v>22</v>
      </c>
      <c r="M87" t="s">
        <v>0</v>
      </c>
      <c r="N87" t="s">
        <v>11</v>
      </c>
      <c r="O87" t="s">
        <v>12</v>
      </c>
      <c r="P87" t="s">
        <v>13</v>
      </c>
      <c r="Q87" t="s">
        <v>15</v>
      </c>
      <c r="R87" t="s">
        <v>23</v>
      </c>
      <c r="S87" t="s">
        <v>24</v>
      </c>
      <c r="T87" t="s">
        <v>16</v>
      </c>
      <c r="V87" s="7"/>
    </row>
    <row r="88" spans="1:22" x14ac:dyDescent="0.3">
      <c r="A88" s="6"/>
      <c r="G88">
        <f>3199+488+203</f>
        <v>3890</v>
      </c>
      <c r="H88">
        <v>0.85</v>
      </c>
      <c r="I88">
        <v>1</v>
      </c>
      <c r="J88">
        <v>1</v>
      </c>
      <c r="K88">
        <f>G88*H88*I88*J88</f>
        <v>3306.5</v>
      </c>
      <c r="L88">
        <v>1</v>
      </c>
      <c r="M88">
        <v>0.85</v>
      </c>
      <c r="N88">
        <v>2.2200000000000002</v>
      </c>
      <c r="O88">
        <f>1+M88*N88</f>
        <v>2.887</v>
      </c>
      <c r="P88">
        <v>1.1499999999999999</v>
      </c>
      <c r="Q88">
        <f>K88*L88*O88*P88</f>
        <v>10977.745325</v>
      </c>
      <c r="R88">
        <v>18</v>
      </c>
      <c r="S88">
        <f>Q88*R88</f>
        <v>197599.41584999999</v>
      </c>
      <c r="T88">
        <f>SUM(S88:S94)</f>
        <v>406745.20998549002</v>
      </c>
      <c r="V88" s="7"/>
    </row>
    <row r="89" spans="1:22" x14ac:dyDescent="0.3">
      <c r="A89" s="6"/>
      <c r="G89">
        <f t="shared" ref="G89:G90" si="51">3199+488+203</f>
        <v>3890</v>
      </c>
      <c r="H89">
        <v>1.5879000000000001</v>
      </c>
      <c r="I89">
        <v>3</v>
      </c>
      <c r="J89">
        <v>1</v>
      </c>
      <c r="K89">
        <f t="shared" ref="K89:K90" si="52">G89*H89*I89*J89</f>
        <v>18530.793000000001</v>
      </c>
      <c r="L89">
        <v>1</v>
      </c>
      <c r="M89">
        <v>0.85</v>
      </c>
      <c r="N89">
        <v>2.2200000000000002</v>
      </c>
      <c r="O89">
        <f t="shared" ref="O89:O90" si="53">1+M89*N89</f>
        <v>2.887</v>
      </c>
      <c r="P89">
        <v>1.1499999999999999</v>
      </c>
      <c r="Q89">
        <f t="shared" ref="Q89:Q90" si="54">K89*L89*O89*P89</f>
        <v>61523.159299650004</v>
      </c>
      <c r="R89">
        <v>1</v>
      </c>
      <c r="S89">
        <f t="shared" ref="S89:S90" si="55">Q89*R89</f>
        <v>61523.159299650004</v>
      </c>
      <c r="V89" s="7"/>
    </row>
    <row r="90" spans="1:22" x14ac:dyDescent="0.3">
      <c r="A90" s="6"/>
      <c r="G90">
        <f t="shared" si="51"/>
        <v>3890</v>
      </c>
      <c r="H90">
        <v>0.58320000000000005</v>
      </c>
      <c r="I90">
        <v>1</v>
      </c>
      <c r="J90">
        <v>1</v>
      </c>
      <c r="K90">
        <f t="shared" si="52"/>
        <v>2268.6480000000001</v>
      </c>
      <c r="L90">
        <v>1</v>
      </c>
      <c r="M90">
        <v>0.85</v>
      </c>
      <c r="N90">
        <v>2.2200000000000002</v>
      </c>
      <c r="O90">
        <f t="shared" si="53"/>
        <v>2.887</v>
      </c>
      <c r="P90">
        <v>1.1499999999999999</v>
      </c>
      <c r="Q90">
        <f t="shared" si="54"/>
        <v>7532.0247923999996</v>
      </c>
      <c r="R90">
        <v>1</v>
      </c>
      <c r="S90">
        <f t="shared" si="55"/>
        <v>7532.0247923999996</v>
      </c>
      <c r="V90" s="7"/>
    </row>
    <row r="91" spans="1:22" x14ac:dyDescent="0.3">
      <c r="A91" s="6"/>
      <c r="G91">
        <f>G80</f>
        <v>3402</v>
      </c>
      <c r="H91">
        <v>0.85</v>
      </c>
      <c r="I91">
        <v>1</v>
      </c>
      <c r="J91">
        <v>1</v>
      </c>
      <c r="K91">
        <f>G91*H91*I91*J91</f>
        <v>2891.7</v>
      </c>
      <c r="L91">
        <v>1</v>
      </c>
      <c r="M91">
        <v>0.85</v>
      </c>
      <c r="N91">
        <v>2.2200000000000002</v>
      </c>
      <c r="O91">
        <f>1+M91*N91</f>
        <v>2.887</v>
      </c>
      <c r="P91">
        <v>0.9</v>
      </c>
      <c r="Q91">
        <f>K91*L91*O91*P91</f>
        <v>7513.5041099999989</v>
      </c>
      <c r="R91">
        <v>18</v>
      </c>
      <c r="S91">
        <f>Q91*R91</f>
        <v>135243.07397999999</v>
      </c>
      <c r="V91" s="7"/>
    </row>
    <row r="92" spans="1:22" x14ac:dyDescent="0.3">
      <c r="A92" s="6"/>
      <c r="G92">
        <f>G85</f>
        <v>3199</v>
      </c>
      <c r="H92">
        <v>0.58320000000000005</v>
      </c>
      <c r="I92">
        <v>1</v>
      </c>
      <c r="J92">
        <v>1</v>
      </c>
      <c r="K92">
        <f t="shared" ref="K92" si="56">G92*H92*I92*J92</f>
        <v>1865.6568000000002</v>
      </c>
      <c r="L92">
        <v>1</v>
      </c>
      <c r="M92">
        <v>0.85</v>
      </c>
      <c r="N92">
        <v>2.2200000000000002</v>
      </c>
      <c r="O92">
        <f t="shared" ref="O92" si="57">1+M92*N92</f>
        <v>2.887</v>
      </c>
      <c r="P92">
        <v>0.9</v>
      </c>
      <c r="Q92">
        <f t="shared" ref="Q92" si="58">K92*L92*O92*P92</f>
        <v>4847.5360634400004</v>
      </c>
      <c r="R92">
        <v>1</v>
      </c>
      <c r="S92">
        <f t="shared" ref="S92" si="59">Q92*R92</f>
        <v>4847.5360634400004</v>
      </c>
      <c r="V92" s="7"/>
    </row>
    <row r="93" spans="1:22" ht="14.5" thickBot="1" x14ac:dyDescent="0.35">
      <c r="A93" s="6"/>
      <c r="V93" s="7"/>
    </row>
    <row r="94" spans="1:22" x14ac:dyDescent="0.3">
      <c r="A94" s="6"/>
      <c r="F94" s="19" t="s">
        <v>3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1"/>
    </row>
    <row r="95" spans="1:22" x14ac:dyDescent="0.3">
      <c r="A95" s="6"/>
      <c r="F95" s="6" t="s">
        <v>4</v>
      </c>
      <c r="G95" t="s">
        <v>1</v>
      </c>
      <c r="H95" t="s">
        <v>5</v>
      </c>
      <c r="I95" t="s">
        <v>6</v>
      </c>
      <c r="J95" t="s">
        <v>7</v>
      </c>
      <c r="K95" t="s">
        <v>8</v>
      </c>
      <c r="L95" t="s">
        <v>2</v>
      </c>
      <c r="M95" t="s">
        <v>18</v>
      </c>
      <c r="N95" t="s">
        <v>9</v>
      </c>
      <c r="O95" t="s">
        <v>10</v>
      </c>
      <c r="P95" t="s">
        <v>0</v>
      </c>
      <c r="Q95" t="s">
        <v>11</v>
      </c>
      <c r="R95" t="s">
        <v>12</v>
      </c>
      <c r="S95" t="s">
        <v>13</v>
      </c>
      <c r="T95" t="s">
        <v>14</v>
      </c>
      <c r="U95" t="s">
        <v>15</v>
      </c>
      <c r="V95" s="7" t="s">
        <v>16</v>
      </c>
    </row>
    <row r="96" spans="1:22" x14ac:dyDescent="0.3">
      <c r="A96" s="6"/>
      <c r="F96" s="6" t="s">
        <v>32</v>
      </c>
      <c r="G96">
        <v>2604</v>
      </c>
      <c r="H96">
        <v>8.2554999999999996</v>
      </c>
      <c r="I96">
        <v>1.28</v>
      </c>
      <c r="J96">
        <f>16*0.015+1</f>
        <v>1.24</v>
      </c>
      <c r="K96">
        <f>G96*H96*I96*J96</f>
        <v>34120.549478399997</v>
      </c>
      <c r="L96">
        <v>20</v>
      </c>
      <c r="M96">
        <v>1.4</v>
      </c>
      <c r="N96">
        <f>1+6*L96/(L96+2000)+M96</f>
        <v>2.4594059405940594</v>
      </c>
      <c r="O96">
        <v>0</v>
      </c>
      <c r="P96">
        <v>0.93</v>
      </c>
      <c r="Q96">
        <v>2.2999999999999998</v>
      </c>
      <c r="R96">
        <f>1+P96*Q96</f>
        <v>3.1389999999999998</v>
      </c>
      <c r="S96">
        <v>0.9</v>
      </c>
      <c r="T96">
        <v>1</v>
      </c>
      <c r="U96">
        <f>(K96*N96+O96)*R96*S96*T96</f>
        <v>237071.88851412546</v>
      </c>
      <c r="V96" s="7">
        <f>SUM(U96:U106)</f>
        <v>610398.90976252919</v>
      </c>
    </row>
    <row r="97" spans="1:22" x14ac:dyDescent="0.3">
      <c r="A97" s="6"/>
      <c r="F97" s="6"/>
      <c r="G97">
        <v>2604</v>
      </c>
      <c r="H97">
        <v>4.5</v>
      </c>
      <c r="I97">
        <v>1.28</v>
      </c>
      <c r="J97">
        <f>16*0.015+1</f>
        <v>1.24</v>
      </c>
      <c r="K97">
        <f t="shared" ref="K97:K98" si="60">G97*H97*I97*J97</f>
        <v>18598.809600000001</v>
      </c>
      <c r="L97">
        <v>20</v>
      </c>
      <c r="M97">
        <v>1.4</v>
      </c>
      <c r="N97">
        <f t="shared" ref="N97:N98" si="61">1+6*L97/(L97+2000)+M97</f>
        <v>2.4594059405940594</v>
      </c>
      <c r="O97">
        <v>0</v>
      </c>
      <c r="P97">
        <v>0.93</v>
      </c>
      <c r="Q97">
        <v>2.2999999999999998</v>
      </c>
      <c r="R97">
        <f>1+P97*Q97</f>
        <v>3.1389999999999998</v>
      </c>
      <c r="S97">
        <v>0.9</v>
      </c>
      <c r="T97">
        <v>1</v>
      </c>
      <c r="U97">
        <f t="shared" ref="U97:U98" si="62">(K97*N97+O97)*R97*S97*T97</f>
        <v>129225.78866374717</v>
      </c>
      <c r="V97" s="7"/>
    </row>
    <row r="98" spans="1:22" x14ac:dyDescent="0.3">
      <c r="A98" s="6"/>
      <c r="F98" s="6" t="s">
        <v>33</v>
      </c>
      <c r="G98">
        <f>189+2604</f>
        <v>2793</v>
      </c>
      <c r="H98">
        <v>0.72950000000000004</v>
      </c>
      <c r="I98">
        <v>1.28</v>
      </c>
      <c r="J98">
        <f>17*0.015+1</f>
        <v>1.2549999999999999</v>
      </c>
      <c r="K98">
        <f t="shared" si="60"/>
        <v>3273.0295584</v>
      </c>
      <c r="L98">
        <v>20</v>
      </c>
      <c r="M98">
        <v>1.6</v>
      </c>
      <c r="N98">
        <f t="shared" si="61"/>
        <v>2.6594059405940595</v>
      </c>
      <c r="O98">
        <v>0</v>
      </c>
      <c r="P98">
        <v>0.93</v>
      </c>
      <c r="Q98">
        <v>2.2999999999999998</v>
      </c>
      <c r="R98">
        <f t="shared" ref="R98:R106" si="63">1+P98*Q98</f>
        <v>3.1389999999999998</v>
      </c>
      <c r="S98">
        <v>0.9</v>
      </c>
      <c r="T98">
        <v>1</v>
      </c>
      <c r="U98">
        <f t="shared" si="62"/>
        <v>24590.558191485808</v>
      </c>
      <c r="V98" s="7"/>
    </row>
    <row r="99" spans="1:22" x14ac:dyDescent="0.3">
      <c r="A99" s="6"/>
      <c r="F99" s="6" t="s">
        <v>34</v>
      </c>
      <c r="G99">
        <f t="shared" ref="G99:G105" si="64">189+2604</f>
        <v>2793</v>
      </c>
      <c r="H99">
        <v>0.87239999999999995</v>
      </c>
      <c r="I99">
        <v>1.28</v>
      </c>
      <c r="J99">
        <f t="shared" ref="J99:J105" si="65">17*0.015+1</f>
        <v>1.2549999999999999</v>
      </c>
      <c r="K99">
        <f t="shared" ref="K99:K106" si="66">G99*H99*I99*J99</f>
        <v>3914.175444479999</v>
      </c>
      <c r="L99">
        <v>20</v>
      </c>
      <c r="M99">
        <v>1.3</v>
      </c>
      <c r="N99">
        <f t="shared" ref="N99:N106" si="67">1+6*L99/(L99+2000)+M99</f>
        <v>2.3594059405940593</v>
      </c>
      <c r="O99">
        <v>0</v>
      </c>
      <c r="P99">
        <v>0.93</v>
      </c>
      <c r="Q99">
        <v>2.2999999999999998</v>
      </c>
      <c r="R99">
        <f t="shared" si="63"/>
        <v>3.1389999999999998</v>
      </c>
      <c r="S99">
        <v>1.1499999999999999</v>
      </c>
      <c r="T99">
        <v>1</v>
      </c>
      <c r="U99">
        <f t="shared" ref="U99:U106" si="68">(K99*N99+O99)*R99*S99*T99</f>
        <v>33337.429685083509</v>
      </c>
      <c r="V99" s="7"/>
    </row>
    <row r="100" spans="1:22" x14ac:dyDescent="0.3">
      <c r="A100" s="6"/>
      <c r="F100" s="6" t="s">
        <v>35</v>
      </c>
      <c r="G100">
        <f t="shared" si="64"/>
        <v>2793</v>
      </c>
      <c r="H100">
        <v>0.72950000000000004</v>
      </c>
      <c r="I100">
        <v>1.28</v>
      </c>
      <c r="J100">
        <f t="shared" si="65"/>
        <v>1.2549999999999999</v>
      </c>
      <c r="K100">
        <f t="shared" si="66"/>
        <v>3273.0295584</v>
      </c>
      <c r="L100">
        <v>20</v>
      </c>
      <c r="M100">
        <v>1.3</v>
      </c>
      <c r="N100">
        <f t="shared" si="67"/>
        <v>2.3594059405940593</v>
      </c>
      <c r="O100">
        <v>0</v>
      </c>
      <c r="P100">
        <v>0.93</v>
      </c>
      <c r="Q100">
        <v>2.2999999999999998</v>
      </c>
      <c r="R100">
        <f t="shared" si="63"/>
        <v>3.1389999999999998</v>
      </c>
      <c r="S100">
        <v>1.1499999999999999</v>
      </c>
      <c r="T100">
        <v>1</v>
      </c>
      <c r="U100">
        <f t="shared" si="68"/>
        <v>27876.725074814789</v>
      </c>
      <c r="V100" s="7"/>
    </row>
    <row r="101" spans="1:22" x14ac:dyDescent="0.3">
      <c r="A101" s="6"/>
      <c r="F101" s="6" t="s">
        <v>36</v>
      </c>
      <c r="G101">
        <f t="shared" si="64"/>
        <v>2793</v>
      </c>
      <c r="H101">
        <v>0.87239999999999995</v>
      </c>
      <c r="I101">
        <v>1.28</v>
      </c>
      <c r="J101">
        <f t="shared" si="65"/>
        <v>1.2549999999999999</v>
      </c>
      <c r="K101">
        <f t="shared" si="66"/>
        <v>3914.175444479999</v>
      </c>
      <c r="L101">
        <v>20</v>
      </c>
      <c r="M101">
        <v>1.3</v>
      </c>
      <c r="N101">
        <f t="shared" si="67"/>
        <v>2.3594059405940593</v>
      </c>
      <c r="O101">
        <v>0</v>
      </c>
      <c r="P101">
        <v>0.93</v>
      </c>
      <c r="Q101">
        <v>2.2999999999999998</v>
      </c>
      <c r="R101">
        <f t="shared" si="63"/>
        <v>3.1389999999999998</v>
      </c>
      <c r="S101">
        <v>1.1499999999999999</v>
      </c>
      <c r="T101">
        <v>1</v>
      </c>
      <c r="U101">
        <f t="shared" si="68"/>
        <v>33337.429685083509</v>
      </c>
      <c r="V101" s="7"/>
    </row>
    <row r="102" spans="1:22" x14ac:dyDescent="0.3">
      <c r="A102" s="6"/>
      <c r="F102" s="6" t="s">
        <v>37</v>
      </c>
      <c r="G102">
        <f t="shared" si="64"/>
        <v>2793</v>
      </c>
      <c r="H102">
        <v>0.72950000000000004</v>
      </c>
      <c r="I102">
        <v>1.28</v>
      </c>
      <c r="J102">
        <f t="shared" si="65"/>
        <v>1.2549999999999999</v>
      </c>
      <c r="K102">
        <f t="shared" si="66"/>
        <v>3273.0295584</v>
      </c>
      <c r="L102">
        <v>20</v>
      </c>
      <c r="M102">
        <v>1.3</v>
      </c>
      <c r="N102">
        <f t="shared" si="67"/>
        <v>2.3594059405940593</v>
      </c>
      <c r="O102">
        <v>0</v>
      </c>
      <c r="P102">
        <v>0.93</v>
      </c>
      <c r="Q102">
        <v>2.2999999999999998</v>
      </c>
      <c r="R102">
        <f t="shared" si="63"/>
        <v>3.1389999999999998</v>
      </c>
      <c r="S102">
        <v>1.1499999999999999</v>
      </c>
      <c r="T102">
        <v>1</v>
      </c>
      <c r="U102">
        <f t="shared" si="68"/>
        <v>27876.725074814789</v>
      </c>
      <c r="V102" s="7"/>
    </row>
    <row r="103" spans="1:22" x14ac:dyDescent="0.3">
      <c r="A103" s="6"/>
      <c r="F103" s="6" t="s">
        <v>38</v>
      </c>
      <c r="G103">
        <f t="shared" si="64"/>
        <v>2793</v>
      </c>
      <c r="H103">
        <v>0.87239999999999995</v>
      </c>
      <c r="I103">
        <v>1.28</v>
      </c>
      <c r="J103">
        <f t="shared" si="65"/>
        <v>1.2549999999999999</v>
      </c>
      <c r="K103">
        <f t="shared" si="66"/>
        <v>3914.175444479999</v>
      </c>
      <c r="L103">
        <v>20</v>
      </c>
      <c r="M103">
        <v>1.3</v>
      </c>
      <c r="N103">
        <f t="shared" si="67"/>
        <v>2.3594059405940593</v>
      </c>
      <c r="O103">
        <v>0</v>
      </c>
      <c r="P103">
        <v>0.93</v>
      </c>
      <c r="Q103">
        <v>2.2999999999999998</v>
      </c>
      <c r="R103">
        <f t="shared" si="63"/>
        <v>3.1389999999999998</v>
      </c>
      <c r="S103">
        <v>1.1499999999999999</v>
      </c>
      <c r="T103">
        <v>1</v>
      </c>
      <c r="U103">
        <f t="shared" si="68"/>
        <v>33337.429685083509</v>
      </c>
      <c r="V103" s="7"/>
    </row>
    <row r="104" spans="1:22" x14ac:dyDescent="0.3">
      <c r="A104" s="6"/>
      <c r="F104" s="6" t="s">
        <v>39</v>
      </c>
      <c r="G104">
        <f t="shared" si="64"/>
        <v>2793</v>
      </c>
      <c r="H104">
        <v>0.72950000000000004</v>
      </c>
      <c r="I104">
        <v>1.28</v>
      </c>
      <c r="J104">
        <f t="shared" si="65"/>
        <v>1.2549999999999999</v>
      </c>
      <c r="K104">
        <f t="shared" si="66"/>
        <v>3273.0295584</v>
      </c>
      <c r="L104">
        <v>20</v>
      </c>
      <c r="M104">
        <v>1.3</v>
      </c>
      <c r="N104">
        <f t="shared" si="67"/>
        <v>2.3594059405940593</v>
      </c>
      <c r="O104">
        <v>0</v>
      </c>
      <c r="P104">
        <v>0.93</v>
      </c>
      <c r="Q104">
        <v>2.2999999999999998</v>
      </c>
      <c r="R104">
        <f t="shared" si="63"/>
        <v>3.1389999999999998</v>
      </c>
      <c r="S104">
        <v>0.9</v>
      </c>
      <c r="T104">
        <v>1</v>
      </c>
      <c r="U104">
        <f t="shared" si="68"/>
        <v>21816.567449855054</v>
      </c>
      <c r="V104" s="7"/>
    </row>
    <row r="105" spans="1:22" x14ac:dyDescent="0.3">
      <c r="A105" s="6"/>
      <c r="F105" s="6" t="s">
        <v>40</v>
      </c>
      <c r="G105">
        <f t="shared" si="64"/>
        <v>2793</v>
      </c>
      <c r="H105">
        <v>0.87239999999999995</v>
      </c>
      <c r="I105">
        <v>1.28</v>
      </c>
      <c r="J105">
        <f t="shared" si="65"/>
        <v>1.2549999999999999</v>
      </c>
      <c r="K105">
        <f t="shared" si="66"/>
        <v>3914.175444479999</v>
      </c>
      <c r="L105">
        <v>20</v>
      </c>
      <c r="M105">
        <v>1.3</v>
      </c>
      <c r="N105">
        <f t="shared" si="67"/>
        <v>2.3594059405940593</v>
      </c>
      <c r="O105">
        <v>0</v>
      </c>
      <c r="P105">
        <v>0.93</v>
      </c>
      <c r="Q105">
        <v>2.2999999999999998</v>
      </c>
      <c r="R105">
        <f t="shared" si="63"/>
        <v>3.1389999999999998</v>
      </c>
      <c r="S105">
        <v>0.9</v>
      </c>
      <c r="T105">
        <v>1</v>
      </c>
      <c r="U105">
        <f t="shared" si="68"/>
        <v>26090.162362239269</v>
      </c>
      <c r="V105" s="7"/>
    </row>
    <row r="106" spans="1:22" x14ac:dyDescent="0.3">
      <c r="A106" s="6"/>
      <c r="F106" s="6" t="s">
        <v>41</v>
      </c>
      <c r="G106">
        <v>2604</v>
      </c>
      <c r="H106">
        <v>0.72950000000000004</v>
      </c>
      <c r="I106">
        <v>1.28</v>
      </c>
      <c r="J106">
        <v>1.24</v>
      </c>
      <c r="K106">
        <f t="shared" si="66"/>
        <v>3015.0736896000003</v>
      </c>
      <c r="L106">
        <v>20</v>
      </c>
      <c r="M106">
        <v>0.8</v>
      </c>
      <c r="N106">
        <f t="shared" si="67"/>
        <v>1.8594059405940595</v>
      </c>
      <c r="O106">
        <v>0</v>
      </c>
      <c r="P106">
        <v>0.93</v>
      </c>
      <c r="Q106">
        <v>2.2999999999999998</v>
      </c>
      <c r="R106">
        <f t="shared" si="63"/>
        <v>3.1389999999999998</v>
      </c>
      <c r="S106">
        <v>0.9</v>
      </c>
      <c r="T106">
        <v>1</v>
      </c>
      <c r="U106">
        <f t="shared" si="68"/>
        <v>15838.205376196307</v>
      </c>
      <c r="V106" s="7"/>
    </row>
    <row r="107" spans="1:22" x14ac:dyDescent="0.3">
      <c r="A107" s="6"/>
      <c r="F107" s="6"/>
      <c r="V107" s="7"/>
    </row>
    <row r="108" spans="1:22" x14ac:dyDescent="0.3">
      <c r="A108" s="6"/>
      <c r="F108" s="6"/>
      <c r="G108" t="s">
        <v>1</v>
      </c>
      <c r="H108" t="s">
        <v>5</v>
      </c>
      <c r="I108" t="s">
        <v>7</v>
      </c>
      <c r="J108" t="s">
        <v>7</v>
      </c>
      <c r="K108" t="s">
        <v>8</v>
      </c>
      <c r="L108" t="s">
        <v>22</v>
      </c>
      <c r="M108" t="s">
        <v>0</v>
      </c>
      <c r="N108" t="s">
        <v>11</v>
      </c>
      <c r="O108" t="s">
        <v>12</v>
      </c>
      <c r="P108" t="s">
        <v>13</v>
      </c>
      <c r="Q108" t="s">
        <v>15</v>
      </c>
      <c r="R108" t="s">
        <v>23</v>
      </c>
      <c r="S108" t="s">
        <v>24</v>
      </c>
      <c r="T108" t="s">
        <v>16</v>
      </c>
      <c r="V108" s="7"/>
    </row>
    <row r="109" spans="1:22" x14ac:dyDescent="0.3">
      <c r="A109" s="6"/>
      <c r="F109" s="6"/>
      <c r="G109">
        <f>G96</f>
        <v>2604</v>
      </c>
      <c r="H109">
        <v>1.9454</v>
      </c>
      <c r="I109">
        <v>1</v>
      </c>
      <c r="J109">
        <v>1</v>
      </c>
      <c r="K109">
        <f>G109*H109*I109*J109</f>
        <v>5065.8216000000002</v>
      </c>
      <c r="L109">
        <v>1</v>
      </c>
      <c r="M109">
        <v>0.93</v>
      </c>
      <c r="N109">
        <v>2.2999999999999998</v>
      </c>
      <c r="O109">
        <f>1+M109*N109</f>
        <v>3.1389999999999998</v>
      </c>
      <c r="P109">
        <v>0.9</v>
      </c>
      <c r="Q109">
        <f>K109*L109*O109*P109</f>
        <v>14311.45260216</v>
      </c>
      <c r="R109">
        <v>1</v>
      </c>
      <c r="S109">
        <f>Q109*R109</f>
        <v>14311.45260216</v>
      </c>
      <c r="T109">
        <f>SUM(S109:S110)</f>
        <v>136818.63331352998</v>
      </c>
      <c r="V109" s="7"/>
    </row>
    <row r="110" spans="1:22" ht="14.5" thickBot="1" x14ac:dyDescent="0.35">
      <c r="A110" s="6"/>
      <c r="F110" s="8"/>
      <c r="G110" s="9">
        <f>G101</f>
        <v>2793</v>
      </c>
      <c r="H110" s="9">
        <v>1.7251000000000001</v>
      </c>
      <c r="I110" s="9">
        <v>1</v>
      </c>
      <c r="J110" s="9">
        <v>1</v>
      </c>
      <c r="K110" s="9">
        <f>G110*H110*I110*J110</f>
        <v>4818.2043000000003</v>
      </c>
      <c r="L110" s="9">
        <v>1</v>
      </c>
      <c r="M110" s="9">
        <v>0.93</v>
      </c>
      <c r="N110" s="9">
        <v>2.2999999999999998</v>
      </c>
      <c r="O110" s="9">
        <f>1+M110*N110</f>
        <v>3.1389999999999998</v>
      </c>
      <c r="P110" s="9">
        <v>0.9</v>
      </c>
      <c r="Q110" s="9">
        <f>K110*L110*O110*P110</f>
        <v>13611.90896793</v>
      </c>
      <c r="R110" s="9">
        <v>9</v>
      </c>
      <c r="S110" s="9">
        <f>Q110*R110</f>
        <v>122507.18071136999</v>
      </c>
      <c r="T110" s="9"/>
      <c r="U110" s="9"/>
      <c r="V110" s="10"/>
    </row>
    <row r="111" spans="1:22" x14ac:dyDescent="0.3">
      <c r="A111" s="6"/>
      <c r="V111" s="7"/>
    </row>
    <row r="112" spans="1:22" ht="14.5" thickBot="1" x14ac:dyDescent="0.35">
      <c r="A112" s="6"/>
      <c r="F112" s="22" t="s">
        <v>53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7"/>
    </row>
    <row r="113" spans="1:22" x14ac:dyDescent="0.3">
      <c r="A113" s="6"/>
      <c r="F113" s="3"/>
      <c r="G113" s="4" t="s">
        <v>42</v>
      </c>
      <c r="H113" s="4" t="s">
        <v>43</v>
      </c>
      <c r="I113" s="4" t="s">
        <v>6</v>
      </c>
      <c r="J113" s="4" t="s">
        <v>2</v>
      </c>
      <c r="K113" s="4" t="s">
        <v>18</v>
      </c>
      <c r="L113" s="4" t="s">
        <v>9</v>
      </c>
      <c r="M113" s="4" t="s">
        <v>0</v>
      </c>
      <c r="N113" s="4" t="s">
        <v>11</v>
      </c>
      <c r="O113" s="4" t="s">
        <v>12</v>
      </c>
      <c r="P113" s="4" t="s">
        <v>13</v>
      </c>
      <c r="Q113" s="4" t="s">
        <v>14</v>
      </c>
      <c r="R113" s="4" t="s">
        <v>48</v>
      </c>
      <c r="S113" s="4" t="s">
        <v>49</v>
      </c>
      <c r="T113" s="4" t="s">
        <v>51</v>
      </c>
      <c r="U113" s="5" t="s">
        <v>16</v>
      </c>
      <c r="V113" s="7"/>
    </row>
    <row r="114" spans="1:22" x14ac:dyDescent="0.3">
      <c r="A114" s="6"/>
      <c r="F114" s="6" t="s">
        <v>44</v>
      </c>
      <c r="G114">
        <v>1446.85</v>
      </c>
      <c r="H114">
        <v>2</v>
      </c>
      <c r="I114">
        <v>1.28</v>
      </c>
      <c r="J114">
        <v>200</v>
      </c>
      <c r="K114">
        <v>2.68</v>
      </c>
      <c r="L114">
        <f>1+6*J114/(J114+2000)+K114</f>
        <v>4.2254545454545456</v>
      </c>
      <c r="M114">
        <v>0.85</v>
      </c>
      <c r="N114">
        <v>2.2200000000000002</v>
      </c>
      <c r="O114">
        <f>1+M114*N114</f>
        <v>2.887</v>
      </c>
      <c r="P114">
        <v>1.1499999999999999</v>
      </c>
      <c r="Q114">
        <v>1</v>
      </c>
      <c r="R114">
        <v>0.6</v>
      </c>
      <c r="S114">
        <f>G114*H114*I114*L114*O114*P114*Q114*R114</f>
        <v>31176.889433283483</v>
      </c>
      <c r="T114">
        <v>2</v>
      </c>
      <c r="U114" s="7">
        <f>T116*T114</f>
        <v>79094.496013552794</v>
      </c>
      <c r="V114" s="7"/>
    </row>
    <row r="115" spans="1:22" x14ac:dyDescent="0.3">
      <c r="A115" s="6"/>
      <c r="F115" s="6" t="s">
        <v>45</v>
      </c>
      <c r="G115">
        <v>1446.85</v>
      </c>
      <c r="H115">
        <v>2</v>
      </c>
      <c r="I115">
        <v>1.28</v>
      </c>
      <c r="J115">
        <v>0</v>
      </c>
      <c r="K115">
        <v>2.2000000000000002</v>
      </c>
      <c r="L115">
        <f t="shared" ref="L115:L117" si="69">1+6*J115/(J115+2000)+K115</f>
        <v>3.2</v>
      </c>
      <c r="M115">
        <v>0.5</v>
      </c>
      <c r="N115">
        <v>1.5</v>
      </c>
      <c r="O115">
        <f t="shared" ref="O115:O117" si="70">1+M115*N115</f>
        <v>1.75</v>
      </c>
      <c r="P115">
        <v>0.9</v>
      </c>
      <c r="Q115">
        <v>1</v>
      </c>
      <c r="R115">
        <v>0.3</v>
      </c>
      <c r="S115">
        <f t="shared" ref="S115:S117" si="71">G115*H115*I115*L115*O115*P115*Q115*R115</f>
        <v>5600.351232</v>
      </c>
      <c r="T115" t="s">
        <v>15</v>
      </c>
      <c r="U115" s="7"/>
      <c r="V115" s="7"/>
    </row>
    <row r="116" spans="1:22" x14ac:dyDescent="0.3">
      <c r="A116" s="6"/>
      <c r="F116" s="6" t="s">
        <v>46</v>
      </c>
      <c r="G116">
        <v>1446.85</v>
      </c>
      <c r="H116">
        <v>2</v>
      </c>
      <c r="I116">
        <v>1.28</v>
      </c>
      <c r="J116">
        <v>20</v>
      </c>
      <c r="K116">
        <v>1.3</v>
      </c>
      <c r="L116">
        <f t="shared" si="69"/>
        <v>2.3594059405940593</v>
      </c>
      <c r="M116">
        <v>0.93</v>
      </c>
      <c r="N116">
        <v>2.2999999999999998</v>
      </c>
      <c r="O116">
        <f t="shared" si="70"/>
        <v>3.1389999999999998</v>
      </c>
      <c r="P116">
        <v>1.1499999999999999</v>
      </c>
      <c r="Q116">
        <v>1</v>
      </c>
      <c r="R116">
        <v>0.05</v>
      </c>
      <c r="S116">
        <f t="shared" si="71"/>
        <v>1577.3399494929104</v>
      </c>
      <c r="T116">
        <f>SUM(S114:S117)</f>
        <v>39547.248006776397</v>
      </c>
      <c r="U116" s="7"/>
      <c r="V116" s="7"/>
    </row>
    <row r="117" spans="1:22" x14ac:dyDescent="0.3">
      <c r="A117" s="6"/>
      <c r="F117" s="6" t="s">
        <v>47</v>
      </c>
      <c r="G117">
        <v>1446.85</v>
      </c>
      <c r="H117">
        <v>2</v>
      </c>
      <c r="I117">
        <v>1.28</v>
      </c>
      <c r="J117">
        <v>0</v>
      </c>
      <c r="K117">
        <v>2.2000000000000002</v>
      </c>
      <c r="L117">
        <f t="shared" si="69"/>
        <v>3.2</v>
      </c>
      <c r="M117">
        <v>0.5</v>
      </c>
      <c r="N117">
        <v>1.5</v>
      </c>
      <c r="O117">
        <f t="shared" si="70"/>
        <v>1.75</v>
      </c>
      <c r="P117">
        <v>1.1499999999999999</v>
      </c>
      <c r="Q117">
        <v>1</v>
      </c>
      <c r="R117">
        <v>0.05</v>
      </c>
      <c r="S117">
        <f t="shared" si="71"/>
        <v>1192.6673920000001</v>
      </c>
      <c r="U117" s="7"/>
      <c r="V117" s="7"/>
    </row>
    <row r="118" spans="1:22" x14ac:dyDescent="0.3">
      <c r="A118" s="6"/>
      <c r="F118" s="6"/>
      <c r="U118" s="7"/>
      <c r="V118" s="7"/>
    </row>
    <row r="119" spans="1:22" x14ac:dyDescent="0.3">
      <c r="A119" s="6"/>
      <c r="F119" s="6"/>
      <c r="G119" t="s">
        <v>42</v>
      </c>
      <c r="H119" t="s">
        <v>43</v>
      </c>
      <c r="I119" t="s">
        <v>6</v>
      </c>
      <c r="J119" t="s">
        <v>2</v>
      </c>
      <c r="K119" t="s">
        <v>18</v>
      </c>
      <c r="L119" t="s">
        <v>9</v>
      </c>
      <c r="M119" t="s">
        <v>0</v>
      </c>
      <c r="N119" t="s">
        <v>11</v>
      </c>
      <c r="O119" t="s">
        <v>12</v>
      </c>
      <c r="P119" t="s">
        <v>13</v>
      </c>
      <c r="Q119" t="s">
        <v>14</v>
      </c>
      <c r="R119" t="s">
        <v>48</v>
      </c>
      <c r="S119" t="s">
        <v>49</v>
      </c>
      <c r="T119" t="s">
        <v>51</v>
      </c>
      <c r="U119" s="7" t="s">
        <v>16</v>
      </c>
      <c r="V119" s="7"/>
    </row>
    <row r="120" spans="1:22" x14ac:dyDescent="0.3">
      <c r="A120" s="6"/>
      <c r="F120" s="6" t="s">
        <v>44</v>
      </c>
      <c r="G120">
        <v>1446.85</v>
      </c>
      <c r="H120">
        <v>2</v>
      </c>
      <c r="I120">
        <v>1.28</v>
      </c>
      <c r="J120">
        <v>200</v>
      </c>
      <c r="K120">
        <v>2.68</v>
      </c>
      <c r="L120">
        <f>1+6*J120/(J120+2000)+K120</f>
        <v>4.2254545454545456</v>
      </c>
      <c r="M120">
        <v>0.85</v>
      </c>
      <c r="N120">
        <v>2.2200000000000002</v>
      </c>
      <c r="O120">
        <f>1+M120*N120</f>
        <v>2.887</v>
      </c>
      <c r="P120">
        <v>0.9</v>
      </c>
      <c r="Q120">
        <v>1</v>
      </c>
      <c r="R120">
        <v>0.6</v>
      </c>
      <c r="S120">
        <f>G120*H120*I120*L120*O120*P120*Q120*R120</f>
        <v>24399.304773874035</v>
      </c>
      <c r="T120">
        <v>2</v>
      </c>
      <c r="U120" s="7">
        <f>T122*T120</f>
        <v>64334.975676693495</v>
      </c>
      <c r="V120" s="7"/>
    </row>
    <row r="121" spans="1:22" x14ac:dyDescent="0.3">
      <c r="A121" s="6"/>
      <c r="F121" s="6" t="s">
        <v>45</v>
      </c>
      <c r="G121">
        <v>1446.85</v>
      </c>
      <c r="H121">
        <v>2</v>
      </c>
      <c r="I121">
        <v>1.28</v>
      </c>
      <c r="J121">
        <v>0</v>
      </c>
      <c r="K121">
        <v>2.2000000000000002</v>
      </c>
      <c r="L121">
        <f t="shared" ref="L121:L123" si="72">1+6*J121/(J121+2000)+K121</f>
        <v>3.2</v>
      </c>
      <c r="M121">
        <v>0.5</v>
      </c>
      <c r="N121">
        <v>1.5</v>
      </c>
      <c r="O121">
        <f t="shared" ref="O121:O123" si="73">1+M121*N121</f>
        <v>1.75</v>
      </c>
      <c r="P121">
        <v>0.9</v>
      </c>
      <c r="Q121">
        <v>1</v>
      </c>
      <c r="R121">
        <v>0.3</v>
      </c>
      <c r="S121">
        <f t="shared" ref="S121:S123" si="74">G121*H121*I121*L121*O121*P121*Q121*R121</f>
        <v>5600.351232</v>
      </c>
      <c r="T121" t="s">
        <v>15</v>
      </c>
      <c r="U121" s="7"/>
      <c r="V121" s="7"/>
    </row>
    <row r="122" spans="1:22" x14ac:dyDescent="0.3">
      <c r="A122" s="6"/>
      <c r="F122" s="6" t="s">
        <v>46</v>
      </c>
      <c r="G122">
        <v>1446.85</v>
      </c>
      <c r="H122">
        <v>2</v>
      </c>
      <c r="I122">
        <v>1.28</v>
      </c>
      <c r="J122">
        <v>20</v>
      </c>
      <c r="K122">
        <v>1.3</v>
      </c>
      <c r="L122">
        <f t="shared" si="72"/>
        <v>2.3594059405940593</v>
      </c>
      <c r="M122">
        <v>0.93</v>
      </c>
      <c r="N122">
        <v>2.2999999999999998</v>
      </c>
      <c r="O122">
        <f t="shared" si="73"/>
        <v>3.1389999999999998</v>
      </c>
      <c r="P122">
        <v>0.9</v>
      </c>
      <c r="Q122">
        <v>1</v>
      </c>
      <c r="R122">
        <v>0.05</v>
      </c>
      <c r="S122">
        <f t="shared" si="74"/>
        <v>1234.4399604727125</v>
      </c>
      <c r="T122">
        <f>SUM(S120:S123)</f>
        <v>32167.487838346748</v>
      </c>
      <c r="U122" s="7"/>
      <c r="V122" s="7"/>
    </row>
    <row r="123" spans="1:22" ht="14.5" thickBot="1" x14ac:dyDescent="0.35">
      <c r="A123" s="6"/>
      <c r="F123" s="8" t="s">
        <v>47</v>
      </c>
      <c r="G123" s="9">
        <v>1446.85</v>
      </c>
      <c r="H123" s="9">
        <v>2</v>
      </c>
      <c r="I123" s="9">
        <v>1.28</v>
      </c>
      <c r="J123" s="9">
        <v>0</v>
      </c>
      <c r="K123" s="9">
        <v>2.2000000000000002</v>
      </c>
      <c r="L123" s="9">
        <f t="shared" si="72"/>
        <v>3.2</v>
      </c>
      <c r="M123">
        <v>0.5</v>
      </c>
      <c r="N123" s="9">
        <v>1.5</v>
      </c>
      <c r="O123" s="9">
        <f t="shared" si="73"/>
        <v>1.75</v>
      </c>
      <c r="P123" s="9">
        <v>0.9</v>
      </c>
      <c r="Q123" s="9">
        <v>1</v>
      </c>
      <c r="R123" s="9">
        <v>0.05</v>
      </c>
      <c r="S123" s="9">
        <f t="shared" si="74"/>
        <v>933.39187200000003</v>
      </c>
      <c r="T123" s="9"/>
      <c r="U123" s="10"/>
      <c r="V123" s="7"/>
    </row>
    <row r="124" spans="1:22" ht="14.5" thickBot="1" x14ac:dyDescent="0.35">
      <c r="A124" s="6"/>
      <c r="F124" s="23" t="s">
        <v>54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7"/>
    </row>
    <row r="125" spans="1:22" x14ac:dyDescent="0.3">
      <c r="A125" s="6"/>
      <c r="F125" s="3"/>
      <c r="G125" s="4" t="s">
        <v>42</v>
      </c>
      <c r="H125" s="4" t="s">
        <v>52</v>
      </c>
      <c r="I125" s="4" t="s">
        <v>6</v>
      </c>
      <c r="J125" s="4" t="s">
        <v>2</v>
      </c>
      <c r="K125" s="4" t="s">
        <v>18</v>
      </c>
      <c r="L125" s="4" t="s">
        <v>9</v>
      </c>
      <c r="M125" s="4" t="s">
        <v>0</v>
      </c>
      <c r="N125" s="4" t="s">
        <v>11</v>
      </c>
      <c r="O125" s="4" t="s">
        <v>12</v>
      </c>
      <c r="P125" s="4" t="s">
        <v>13</v>
      </c>
      <c r="Q125" s="4" t="s">
        <v>14</v>
      </c>
      <c r="R125" s="4" t="s">
        <v>48</v>
      </c>
      <c r="S125" s="4" t="s">
        <v>49</v>
      </c>
      <c r="T125" s="4" t="s">
        <v>51</v>
      </c>
      <c r="U125" s="5" t="s">
        <v>16</v>
      </c>
      <c r="V125" s="7"/>
    </row>
    <row r="126" spans="1:22" x14ac:dyDescent="0.3">
      <c r="A126" s="6"/>
      <c r="F126" s="6" t="s">
        <v>44</v>
      </c>
      <c r="G126">
        <v>1446.85</v>
      </c>
      <c r="H126">
        <v>0.75</v>
      </c>
      <c r="I126">
        <v>1.28</v>
      </c>
      <c r="J126">
        <v>0</v>
      </c>
      <c r="K126">
        <v>2.2000000000000002</v>
      </c>
      <c r="L126">
        <f t="shared" ref="L126" si="75">1+6*J126/(J126+2000)+K126</f>
        <v>3.2</v>
      </c>
      <c r="M126">
        <v>0.5</v>
      </c>
      <c r="N126">
        <v>1.5</v>
      </c>
      <c r="O126">
        <f t="shared" ref="O126" si="76">1+M126*N126</f>
        <v>1.75</v>
      </c>
      <c r="P126">
        <v>0.9</v>
      </c>
      <c r="Q126">
        <v>1</v>
      </c>
      <c r="R126">
        <v>0.6</v>
      </c>
      <c r="S126">
        <f>G126*H126*I126*L126*O126*P126*Q126*R126</f>
        <v>4200.2634239999998</v>
      </c>
      <c r="T126">
        <v>4</v>
      </c>
      <c r="U126" s="7">
        <f>T128*T126</f>
        <v>44338.731783201969</v>
      </c>
      <c r="V126" s="7"/>
    </row>
    <row r="127" spans="1:22" x14ac:dyDescent="0.3">
      <c r="A127" s="6"/>
      <c r="F127" s="6" t="s">
        <v>45</v>
      </c>
      <c r="G127">
        <v>1446.85</v>
      </c>
      <c r="H127">
        <v>0.75</v>
      </c>
      <c r="I127">
        <v>1.28</v>
      </c>
      <c r="J127">
        <v>200</v>
      </c>
      <c r="K127">
        <v>2.68</v>
      </c>
      <c r="L127">
        <f>1+6*J127/(J127+2000)+K127</f>
        <v>4.2254545454545456</v>
      </c>
      <c r="M127">
        <v>0.85</v>
      </c>
      <c r="N127">
        <v>2.2200000000000002</v>
      </c>
      <c r="O127">
        <f>1+M127*N127</f>
        <v>2.887</v>
      </c>
      <c r="P127">
        <v>1.1499999999999999</v>
      </c>
      <c r="Q127">
        <v>1</v>
      </c>
      <c r="R127">
        <v>0.3</v>
      </c>
      <c r="S127">
        <f t="shared" ref="S127:S129" si="77">G127*H127*I127*L127*O127*P127*Q127*R127</f>
        <v>5845.6667687406534</v>
      </c>
      <c r="T127" t="s">
        <v>15</v>
      </c>
      <c r="U127" s="7"/>
      <c r="V127" s="7"/>
    </row>
    <row r="128" spans="1:22" x14ac:dyDescent="0.3">
      <c r="A128" s="6"/>
      <c r="F128" s="6" t="s">
        <v>46</v>
      </c>
      <c r="G128">
        <v>1446.85</v>
      </c>
      <c r="H128">
        <v>0.75</v>
      </c>
      <c r="I128">
        <v>1.28</v>
      </c>
      <c r="J128">
        <v>20</v>
      </c>
      <c r="K128">
        <v>1.3</v>
      </c>
      <c r="L128">
        <f t="shared" ref="L128:L129" si="78">1+6*J128/(J128+2000)+K128</f>
        <v>2.3594059405940593</v>
      </c>
      <c r="M128">
        <v>0.93</v>
      </c>
      <c r="N128">
        <v>2.2999999999999998</v>
      </c>
      <c r="O128">
        <f t="shared" ref="O128:O129" si="79">1+M128*N128</f>
        <v>3.1389999999999998</v>
      </c>
      <c r="P128">
        <v>1.1499999999999999</v>
      </c>
      <c r="Q128">
        <v>1</v>
      </c>
      <c r="R128">
        <v>0.05</v>
      </c>
      <c r="S128">
        <f t="shared" si="77"/>
        <v>591.50248105984144</v>
      </c>
      <c r="T128">
        <f>SUM(S126:S129)</f>
        <v>11084.682945800492</v>
      </c>
      <c r="U128" s="7"/>
      <c r="V128" s="7"/>
    </row>
    <row r="129" spans="1:22" x14ac:dyDescent="0.3">
      <c r="A129" s="6"/>
      <c r="F129" s="6" t="s">
        <v>47</v>
      </c>
      <c r="G129">
        <v>1446.85</v>
      </c>
      <c r="H129">
        <v>0.75</v>
      </c>
      <c r="I129">
        <v>1.28</v>
      </c>
      <c r="J129">
        <v>0</v>
      </c>
      <c r="K129">
        <v>2.2000000000000002</v>
      </c>
      <c r="L129">
        <f t="shared" si="78"/>
        <v>3.2</v>
      </c>
      <c r="M129">
        <v>0.5</v>
      </c>
      <c r="N129">
        <v>1.5</v>
      </c>
      <c r="O129">
        <f t="shared" si="79"/>
        <v>1.75</v>
      </c>
      <c r="P129">
        <v>1.1499999999999999</v>
      </c>
      <c r="Q129">
        <v>1</v>
      </c>
      <c r="R129">
        <v>0.05</v>
      </c>
      <c r="S129">
        <f t="shared" si="77"/>
        <v>447.25027199999988</v>
      </c>
      <c r="U129" s="7"/>
      <c r="V129" s="7"/>
    </row>
    <row r="130" spans="1:22" x14ac:dyDescent="0.3">
      <c r="A130" s="6"/>
      <c r="F130" s="6"/>
      <c r="U130" s="7"/>
      <c r="V130" s="7"/>
    </row>
    <row r="131" spans="1:22" x14ac:dyDescent="0.3">
      <c r="A131" s="6"/>
      <c r="F131" s="6"/>
      <c r="G131" t="s">
        <v>42</v>
      </c>
      <c r="H131" t="s">
        <v>52</v>
      </c>
      <c r="I131" t="s">
        <v>6</v>
      </c>
      <c r="J131" t="s">
        <v>2</v>
      </c>
      <c r="K131" t="s">
        <v>18</v>
      </c>
      <c r="L131" t="s">
        <v>9</v>
      </c>
      <c r="M131" t="s">
        <v>0</v>
      </c>
      <c r="N131" t="s">
        <v>11</v>
      </c>
      <c r="O131" t="s">
        <v>12</v>
      </c>
      <c r="P131" t="s">
        <v>13</v>
      </c>
      <c r="Q131" t="s">
        <v>14</v>
      </c>
      <c r="R131" t="s">
        <v>48</v>
      </c>
      <c r="S131" t="s">
        <v>49</v>
      </c>
      <c r="T131" t="s">
        <v>51</v>
      </c>
      <c r="U131" s="7" t="s">
        <v>16</v>
      </c>
      <c r="V131" s="7"/>
    </row>
    <row r="132" spans="1:22" x14ac:dyDescent="0.3">
      <c r="A132" s="6"/>
      <c r="F132" s="6" t="s">
        <v>44</v>
      </c>
      <c r="G132">
        <v>1446.85</v>
      </c>
      <c r="H132">
        <v>0.75</v>
      </c>
      <c r="I132">
        <v>1.28</v>
      </c>
      <c r="J132">
        <v>0</v>
      </c>
      <c r="K132">
        <v>2.2000000000000002</v>
      </c>
      <c r="L132">
        <f t="shared" ref="L132" si="80">1+6*J132/(J132+2000)+K132</f>
        <v>3.2</v>
      </c>
      <c r="M132">
        <v>0.5</v>
      </c>
      <c r="N132">
        <v>1.5</v>
      </c>
      <c r="O132">
        <f t="shared" ref="O132" si="81">1+M132*N132</f>
        <v>1.75</v>
      </c>
      <c r="P132">
        <v>0.9</v>
      </c>
      <c r="Q132">
        <v>1</v>
      </c>
      <c r="R132">
        <v>0.6</v>
      </c>
      <c r="S132">
        <f>G132*H132*I132*L132*O132*P132*Q132*R132</f>
        <v>4200.2634239999998</v>
      </c>
      <c r="T132">
        <v>2</v>
      </c>
      <c r="U132" s="7">
        <f>T134*T132</f>
        <v>19627.771644322445</v>
      </c>
      <c r="V132" s="7"/>
    </row>
    <row r="133" spans="1:22" x14ac:dyDescent="0.3">
      <c r="A133" s="6"/>
      <c r="F133" s="6" t="s">
        <v>45</v>
      </c>
      <c r="G133">
        <v>1446.85</v>
      </c>
      <c r="H133">
        <v>0.75</v>
      </c>
      <c r="I133">
        <v>1.28</v>
      </c>
      <c r="J133">
        <v>200</v>
      </c>
      <c r="K133">
        <v>2.68</v>
      </c>
      <c r="L133">
        <f>1+6*J133/(J133+2000)+K133</f>
        <v>4.2254545454545456</v>
      </c>
      <c r="M133">
        <v>0.85</v>
      </c>
      <c r="N133">
        <v>2.2200000000000002</v>
      </c>
      <c r="O133">
        <f>1+M133*N133</f>
        <v>2.887</v>
      </c>
      <c r="P133">
        <v>0.9</v>
      </c>
      <c r="Q133">
        <v>1</v>
      </c>
      <c r="R133">
        <v>0.3</v>
      </c>
      <c r="S133">
        <f t="shared" ref="S133:S135" si="82">G133*H133*I133*L133*O133*P133*Q133*R133</f>
        <v>4574.869645101382</v>
      </c>
      <c r="T133" t="s">
        <v>15</v>
      </c>
      <c r="U133" s="7"/>
      <c r="V133" s="7"/>
    </row>
    <row r="134" spans="1:22" x14ac:dyDescent="0.3">
      <c r="A134" s="6"/>
      <c r="F134" s="6" t="s">
        <v>46</v>
      </c>
      <c r="G134">
        <v>1446.85</v>
      </c>
      <c r="H134">
        <v>0.75</v>
      </c>
      <c r="I134">
        <v>1.28</v>
      </c>
      <c r="J134">
        <v>20</v>
      </c>
      <c r="K134">
        <v>1.3</v>
      </c>
      <c r="L134">
        <f t="shared" ref="L134:L135" si="83">1+6*J134/(J134+2000)+K134</f>
        <v>2.3594059405940593</v>
      </c>
      <c r="M134">
        <v>0.93</v>
      </c>
      <c r="N134">
        <v>2.2999999999999998</v>
      </c>
      <c r="O134">
        <f t="shared" ref="O134:O135" si="84">1+M134*N134</f>
        <v>3.1389999999999998</v>
      </c>
      <c r="P134">
        <v>1.1499999999999999</v>
      </c>
      <c r="Q134">
        <v>1</v>
      </c>
      <c r="R134">
        <v>0.05</v>
      </c>
      <c r="S134">
        <f t="shared" si="82"/>
        <v>591.50248105984144</v>
      </c>
      <c r="T134">
        <f>SUM(S132:S135)</f>
        <v>9813.8858221612227</v>
      </c>
      <c r="U134" s="7"/>
      <c r="V134" s="7"/>
    </row>
    <row r="135" spans="1:22" ht="14.5" thickBot="1" x14ac:dyDescent="0.35">
      <c r="A135" s="8"/>
      <c r="B135" s="9"/>
      <c r="C135" s="9"/>
      <c r="D135" s="9"/>
      <c r="E135" s="9"/>
      <c r="F135" s="8" t="s">
        <v>47</v>
      </c>
      <c r="G135" s="9">
        <v>1446.85</v>
      </c>
      <c r="H135" s="9">
        <v>0.75</v>
      </c>
      <c r="I135" s="9">
        <v>1.28</v>
      </c>
      <c r="J135" s="9">
        <v>0</v>
      </c>
      <c r="K135" s="9">
        <v>2.2000000000000002</v>
      </c>
      <c r="L135" s="9">
        <f t="shared" si="83"/>
        <v>3.2</v>
      </c>
      <c r="M135" s="9">
        <v>0.5</v>
      </c>
      <c r="N135" s="9">
        <v>1.5</v>
      </c>
      <c r="O135" s="9">
        <f t="shared" si="84"/>
        <v>1.75</v>
      </c>
      <c r="P135" s="9">
        <v>1.1499999999999999</v>
      </c>
      <c r="Q135" s="9">
        <v>1</v>
      </c>
      <c r="R135" s="9">
        <v>0.05</v>
      </c>
      <c r="S135" s="9">
        <f t="shared" si="82"/>
        <v>447.25027199999988</v>
      </c>
      <c r="T135" s="9"/>
      <c r="U135" s="10"/>
      <c r="V135" s="10"/>
    </row>
    <row r="139" spans="1:22" ht="14.5" thickBot="1" x14ac:dyDescent="0.35"/>
    <row r="140" spans="1:22" x14ac:dyDescent="0.3">
      <c r="A140" s="15" t="s">
        <v>66</v>
      </c>
      <c r="B140" s="16"/>
      <c r="C140" s="16"/>
      <c r="D140" s="17"/>
      <c r="E140" s="4"/>
      <c r="F140" s="4" t="s">
        <v>4</v>
      </c>
      <c r="G140" s="4" t="s">
        <v>1</v>
      </c>
      <c r="H140" s="4" t="s">
        <v>5</v>
      </c>
      <c r="I140" s="4" t="s">
        <v>6</v>
      </c>
      <c r="J140" s="4" t="s">
        <v>7</v>
      </c>
      <c r="K140" s="4" t="s">
        <v>8</v>
      </c>
      <c r="L140" s="4" t="s">
        <v>2</v>
      </c>
      <c r="M140" s="4" t="s">
        <v>18</v>
      </c>
      <c r="N140" s="4" t="s">
        <v>9</v>
      </c>
      <c r="O140" s="4" t="s">
        <v>10</v>
      </c>
      <c r="P140" s="4" t="s">
        <v>0</v>
      </c>
      <c r="Q140" s="4" t="s">
        <v>11</v>
      </c>
      <c r="R140" s="4" t="s">
        <v>12</v>
      </c>
      <c r="S140" s="4" t="s">
        <v>13</v>
      </c>
      <c r="T140" s="4" t="s">
        <v>14</v>
      </c>
      <c r="U140" s="4" t="s">
        <v>15</v>
      </c>
      <c r="V140" s="5" t="s">
        <v>16</v>
      </c>
    </row>
    <row r="141" spans="1:22" x14ac:dyDescent="0.3">
      <c r="A141" s="18" t="s">
        <v>27</v>
      </c>
      <c r="B141" s="1" t="s">
        <v>25</v>
      </c>
      <c r="C141" s="1" t="s">
        <v>26</v>
      </c>
      <c r="D141" s="1" t="s">
        <v>28</v>
      </c>
      <c r="F141" t="s">
        <v>17</v>
      </c>
      <c r="G141">
        <f>3199+488+203+427</f>
        <v>4317</v>
      </c>
      <c r="H141">
        <v>2.4224999999999999</v>
      </c>
      <c r="I141">
        <v>1.28</v>
      </c>
      <c r="J141">
        <v>1</v>
      </c>
      <c r="K141">
        <f>G141*H141*I141*J141</f>
        <v>13386.1536</v>
      </c>
      <c r="L141">
        <v>200</v>
      </c>
      <c r="M141">
        <v>2.68</v>
      </c>
      <c r="N141">
        <f>1+6*L141/(L141+2000)+M141</f>
        <v>4.2254545454545456</v>
      </c>
      <c r="O141">
        <v>0</v>
      </c>
      <c r="P141">
        <v>0.85</v>
      </c>
      <c r="Q141">
        <v>2.2200000000000002</v>
      </c>
      <c r="R141">
        <f>1+P141*Q141</f>
        <v>2.887</v>
      </c>
      <c r="S141">
        <v>1.25</v>
      </c>
      <c r="T141">
        <v>1</v>
      </c>
      <c r="U141">
        <f>(K141*N141+O141)*R141*S141*T141</f>
        <v>204120.22347726545</v>
      </c>
      <c r="V141" s="7">
        <f>SUM(U141:U155)</f>
        <v>3428640.3484292398</v>
      </c>
    </row>
    <row r="142" spans="1:22" x14ac:dyDescent="0.3">
      <c r="A142" s="18"/>
      <c r="B142" s="1">
        <f>B144+B146+B148</f>
        <v>5121884.9690680578</v>
      </c>
      <c r="C142" s="1">
        <f>B142/D142</f>
        <v>238227.20786363061</v>
      </c>
      <c r="D142" s="1">
        <v>21.5</v>
      </c>
      <c r="F142" t="s">
        <v>17</v>
      </c>
      <c r="G142">
        <f t="shared" ref="G142:G149" si="85">3199+488+203+427</f>
        <v>4317</v>
      </c>
      <c r="H142">
        <v>2.4224999999999999</v>
      </c>
      <c r="I142">
        <v>1.28</v>
      </c>
      <c r="J142">
        <v>1</v>
      </c>
      <c r="K142">
        <f t="shared" ref="K142:K148" si="86">G142*H142*I142*J142</f>
        <v>13386.1536</v>
      </c>
      <c r="L142">
        <v>200</v>
      </c>
      <c r="M142">
        <v>2.68</v>
      </c>
      <c r="N142">
        <f t="shared" ref="N142:N148" si="87">1+6*L142/(L142+2000)+M142</f>
        <v>4.2254545454545456</v>
      </c>
      <c r="O142">
        <v>0</v>
      </c>
      <c r="P142">
        <v>0.85</v>
      </c>
      <c r="Q142">
        <v>2.2200000000000002</v>
      </c>
      <c r="R142">
        <f t="shared" ref="R142:R148" si="88">1+P142*Q142</f>
        <v>2.887</v>
      </c>
      <c r="S142">
        <v>1.25</v>
      </c>
      <c r="T142">
        <v>1</v>
      </c>
      <c r="U142">
        <f t="shared" ref="U142:U148" si="89">(K142*N142+O142)*R142*S142*T142</f>
        <v>204120.22347726545</v>
      </c>
      <c r="V142" s="7"/>
    </row>
    <row r="143" spans="1:22" x14ac:dyDescent="0.3">
      <c r="A143" s="18"/>
      <c r="B143" s="1" t="s">
        <v>29</v>
      </c>
      <c r="C143" s="1" t="s">
        <v>30</v>
      </c>
      <c r="D143" s="1"/>
      <c r="F143" t="s">
        <v>17</v>
      </c>
      <c r="G143">
        <f t="shared" si="85"/>
        <v>4317</v>
      </c>
      <c r="H143">
        <v>2.4224999999999999</v>
      </c>
      <c r="I143">
        <v>1.28</v>
      </c>
      <c r="J143">
        <v>1</v>
      </c>
      <c r="K143">
        <f t="shared" si="86"/>
        <v>13386.1536</v>
      </c>
      <c r="L143">
        <v>200</v>
      </c>
      <c r="M143">
        <v>2.68</v>
      </c>
      <c r="N143">
        <f t="shared" si="87"/>
        <v>4.2254545454545456</v>
      </c>
      <c r="O143">
        <v>0</v>
      </c>
      <c r="P143">
        <v>0.85</v>
      </c>
      <c r="Q143">
        <v>2.2200000000000002</v>
      </c>
      <c r="R143">
        <f t="shared" si="88"/>
        <v>2.887</v>
      </c>
      <c r="S143">
        <v>1.25</v>
      </c>
      <c r="T143">
        <v>1</v>
      </c>
      <c r="U143">
        <f t="shared" si="89"/>
        <v>204120.22347726545</v>
      </c>
      <c r="V143" s="7"/>
    </row>
    <row r="144" spans="1:22" x14ac:dyDescent="0.3">
      <c r="A144" s="18"/>
      <c r="B144" s="1">
        <f>V141+T158</f>
        <v>3934295.9054614347</v>
      </c>
      <c r="C144" s="2">
        <f>B144/B142</f>
        <v>0.76813437420428665</v>
      </c>
      <c r="D144" s="1"/>
      <c r="F144" t="s">
        <v>17</v>
      </c>
      <c r="G144">
        <f t="shared" si="85"/>
        <v>4317</v>
      </c>
      <c r="H144">
        <v>2.4224999999999999</v>
      </c>
      <c r="I144">
        <v>1.28</v>
      </c>
      <c r="J144">
        <v>1</v>
      </c>
      <c r="K144">
        <f t="shared" si="86"/>
        <v>13386.1536</v>
      </c>
      <c r="L144">
        <v>200</v>
      </c>
      <c r="M144">
        <v>2.68</v>
      </c>
      <c r="N144">
        <f t="shared" si="87"/>
        <v>4.2254545454545456</v>
      </c>
      <c r="O144">
        <v>0</v>
      </c>
      <c r="P144">
        <v>0.85</v>
      </c>
      <c r="Q144">
        <v>2.2200000000000002</v>
      </c>
      <c r="R144">
        <f t="shared" si="88"/>
        <v>2.887</v>
      </c>
      <c r="S144">
        <v>1.25</v>
      </c>
      <c r="T144">
        <v>1</v>
      </c>
      <c r="U144">
        <f t="shared" si="89"/>
        <v>204120.22347726545</v>
      </c>
      <c r="V144" s="7"/>
    </row>
    <row r="145" spans="1:22" x14ac:dyDescent="0.3">
      <c r="A145" s="18"/>
      <c r="B145" s="1" t="s">
        <v>31</v>
      </c>
      <c r="C145" s="2" t="s">
        <v>30</v>
      </c>
      <c r="D145" s="1"/>
      <c r="F145" t="s">
        <v>17</v>
      </c>
      <c r="G145">
        <f t="shared" si="85"/>
        <v>4317</v>
      </c>
      <c r="H145">
        <v>2.4224999999999999</v>
      </c>
      <c r="I145">
        <v>1.28</v>
      </c>
      <c r="J145">
        <v>1</v>
      </c>
      <c r="K145">
        <f t="shared" si="86"/>
        <v>13386.1536</v>
      </c>
      <c r="L145">
        <v>200</v>
      </c>
      <c r="M145">
        <v>2.68</v>
      </c>
      <c r="N145">
        <f t="shared" si="87"/>
        <v>4.2254545454545456</v>
      </c>
      <c r="O145">
        <v>0</v>
      </c>
      <c r="P145">
        <v>0.85</v>
      </c>
      <c r="Q145">
        <v>2.2200000000000002</v>
      </c>
      <c r="R145">
        <f t="shared" si="88"/>
        <v>2.887</v>
      </c>
      <c r="S145">
        <v>1.25</v>
      </c>
      <c r="T145">
        <v>1</v>
      </c>
      <c r="U145">
        <f t="shared" si="89"/>
        <v>204120.22347726545</v>
      </c>
      <c r="V145" s="7"/>
    </row>
    <row r="146" spans="1:22" x14ac:dyDescent="0.3">
      <c r="A146" s="18"/>
      <c r="B146" s="1">
        <f>V166+T179</f>
        <v>953399.547335685</v>
      </c>
      <c r="C146" s="2">
        <f>B146/B142</f>
        <v>0.18614231930108319</v>
      </c>
      <c r="D146" s="1"/>
      <c r="F146" t="s">
        <v>17</v>
      </c>
      <c r="G146">
        <f t="shared" si="85"/>
        <v>4317</v>
      </c>
      <c r="H146">
        <v>2.4224999999999999</v>
      </c>
      <c r="I146">
        <v>1.28</v>
      </c>
      <c r="J146">
        <v>1</v>
      </c>
      <c r="K146">
        <f t="shared" si="86"/>
        <v>13386.1536</v>
      </c>
      <c r="L146">
        <v>200</v>
      </c>
      <c r="M146">
        <v>2.68</v>
      </c>
      <c r="N146">
        <f t="shared" si="87"/>
        <v>4.2254545454545456</v>
      </c>
      <c r="O146">
        <v>0</v>
      </c>
      <c r="P146">
        <v>0.85</v>
      </c>
      <c r="Q146">
        <v>2.2200000000000002</v>
      </c>
      <c r="R146">
        <f t="shared" si="88"/>
        <v>2.887</v>
      </c>
      <c r="S146">
        <v>1.25</v>
      </c>
      <c r="T146">
        <v>1</v>
      </c>
      <c r="U146">
        <f t="shared" si="89"/>
        <v>204120.22347726545</v>
      </c>
      <c r="V146" s="7"/>
    </row>
    <row r="147" spans="1:22" x14ac:dyDescent="0.3">
      <c r="A147" s="18"/>
      <c r="B147" s="1" t="s">
        <v>50</v>
      </c>
      <c r="C147" s="2" t="s">
        <v>30</v>
      </c>
      <c r="D147" s="1"/>
      <c r="F147" s="6" t="s">
        <v>20</v>
      </c>
      <c r="G147">
        <f t="shared" si="85"/>
        <v>4317</v>
      </c>
      <c r="H147">
        <v>5.9543999999999997</v>
      </c>
      <c r="I147">
        <v>1.28</v>
      </c>
      <c r="J147">
        <v>2</v>
      </c>
      <c r="K147">
        <f t="shared" si="86"/>
        <v>65805.170687999998</v>
      </c>
      <c r="L147">
        <v>200</v>
      </c>
      <c r="M147">
        <v>2.68</v>
      </c>
      <c r="N147">
        <f t="shared" si="87"/>
        <v>4.2254545454545456</v>
      </c>
      <c r="O147">
        <v>0</v>
      </c>
      <c r="P147">
        <v>0.85</v>
      </c>
      <c r="Q147">
        <v>2.2200000000000002</v>
      </c>
      <c r="R147">
        <f t="shared" si="88"/>
        <v>2.887</v>
      </c>
      <c r="S147">
        <v>1.25</v>
      </c>
      <c r="T147">
        <v>1</v>
      </c>
      <c r="U147">
        <f t="shared" si="89"/>
        <v>1003437.3239818612</v>
      </c>
      <c r="V147" s="7"/>
    </row>
    <row r="148" spans="1:22" x14ac:dyDescent="0.3">
      <c r="A148" s="18"/>
      <c r="B148" s="1">
        <f>U184+U190+U196+U202</f>
        <v>234189.51627093813</v>
      </c>
      <c r="C148" s="2">
        <f>B148/B142</f>
        <v>4.5723306494630162E-2</v>
      </c>
      <c r="D148" s="1"/>
      <c r="F148" s="6" t="s">
        <v>19</v>
      </c>
      <c r="G148">
        <f t="shared" si="85"/>
        <v>4317</v>
      </c>
      <c r="H148">
        <v>0.58320000000000005</v>
      </c>
      <c r="I148">
        <v>1.28</v>
      </c>
      <c r="J148">
        <v>4</v>
      </c>
      <c r="K148">
        <f t="shared" si="86"/>
        <v>12890.492928000001</v>
      </c>
      <c r="L148">
        <v>200</v>
      </c>
      <c r="M148">
        <v>2.68</v>
      </c>
      <c r="N148">
        <f t="shared" si="87"/>
        <v>4.2254545454545456</v>
      </c>
      <c r="O148">
        <v>0</v>
      </c>
      <c r="P148">
        <v>0.85</v>
      </c>
      <c r="Q148">
        <v>2.2200000000000002</v>
      </c>
      <c r="R148">
        <f t="shared" si="88"/>
        <v>2.887</v>
      </c>
      <c r="S148">
        <v>1.25</v>
      </c>
      <c r="T148">
        <v>1</v>
      </c>
      <c r="U148">
        <f t="shared" si="89"/>
        <v>196562.08764820016</v>
      </c>
      <c r="V148" s="7"/>
    </row>
    <row r="149" spans="1:22" x14ac:dyDescent="0.3">
      <c r="A149" s="6"/>
      <c r="F149" t="s">
        <v>17</v>
      </c>
      <c r="G149">
        <f t="shared" si="85"/>
        <v>4317</v>
      </c>
      <c r="H149">
        <v>2.4224999999999999</v>
      </c>
      <c r="I149">
        <v>1.28</v>
      </c>
      <c r="J149">
        <v>1</v>
      </c>
      <c r="K149">
        <f>G149*H149*I149*J149</f>
        <v>13386.1536</v>
      </c>
      <c r="L149">
        <v>200</v>
      </c>
      <c r="M149">
        <v>2.68</v>
      </c>
      <c r="N149">
        <f>1+6*L149/(L149+2000)+M149</f>
        <v>4.2254545454545456</v>
      </c>
      <c r="O149">
        <v>0</v>
      </c>
      <c r="P149">
        <v>0.85</v>
      </c>
      <c r="Q149">
        <v>2.2200000000000002</v>
      </c>
      <c r="R149">
        <f>1+P149*Q149</f>
        <v>2.887</v>
      </c>
      <c r="S149">
        <v>1.05</v>
      </c>
      <c r="T149">
        <v>1</v>
      </c>
      <c r="U149">
        <f>(K149*N149+O149)*R149*S149*T149</f>
        <v>171460.98772090301</v>
      </c>
      <c r="V149" s="7"/>
    </row>
    <row r="150" spans="1:22" x14ac:dyDescent="0.3">
      <c r="A150" s="6"/>
      <c r="F150" t="s">
        <v>17</v>
      </c>
      <c r="G150">
        <f>3199+203+427</f>
        <v>3829</v>
      </c>
      <c r="H150">
        <v>2.4224999999999999</v>
      </c>
      <c r="I150">
        <v>1.28</v>
      </c>
      <c r="J150">
        <v>1</v>
      </c>
      <c r="K150">
        <f t="shared" ref="K150:K155" si="90">G150*H150*I150*J150</f>
        <v>11872.963199999998</v>
      </c>
      <c r="L150">
        <v>200</v>
      </c>
      <c r="M150">
        <v>2.68</v>
      </c>
      <c r="N150">
        <f t="shared" ref="N150:N155" si="91">1+6*L150/(L150+2000)+M150</f>
        <v>4.2254545454545456</v>
      </c>
      <c r="O150">
        <v>0</v>
      </c>
      <c r="P150">
        <v>0.85</v>
      </c>
      <c r="Q150">
        <v>2.2200000000000002</v>
      </c>
      <c r="R150">
        <f t="shared" ref="R150:R155" si="92">1+P150*Q150</f>
        <v>2.887</v>
      </c>
      <c r="S150">
        <v>1.05</v>
      </c>
      <c r="T150">
        <v>1</v>
      </c>
      <c r="U150">
        <f t="shared" ref="U150:U155" si="93">(K150*N150+O150)*R150*S150*T150</f>
        <v>152078.78665354123</v>
      </c>
      <c r="V150" s="7"/>
    </row>
    <row r="151" spans="1:22" x14ac:dyDescent="0.3">
      <c r="A151" s="6"/>
      <c r="F151" t="s">
        <v>17</v>
      </c>
      <c r="G151">
        <f t="shared" ref="G151:G152" si="94">3199+203+427</f>
        <v>3829</v>
      </c>
      <c r="H151">
        <v>2.4224999999999999</v>
      </c>
      <c r="I151">
        <v>1.28</v>
      </c>
      <c r="J151">
        <v>1</v>
      </c>
      <c r="K151">
        <f t="shared" si="90"/>
        <v>11872.963199999998</v>
      </c>
      <c r="L151">
        <v>200</v>
      </c>
      <c r="M151">
        <v>2.68</v>
      </c>
      <c r="N151">
        <f t="shared" si="91"/>
        <v>4.2254545454545456</v>
      </c>
      <c r="O151">
        <v>0</v>
      </c>
      <c r="P151">
        <v>0.85</v>
      </c>
      <c r="Q151">
        <v>2.2200000000000002</v>
      </c>
      <c r="R151">
        <f t="shared" si="92"/>
        <v>2.887</v>
      </c>
      <c r="S151">
        <v>1.05</v>
      </c>
      <c r="T151">
        <v>1</v>
      </c>
      <c r="U151">
        <f t="shared" si="93"/>
        <v>152078.78665354123</v>
      </c>
      <c r="V151" s="7"/>
    </row>
    <row r="152" spans="1:22" x14ac:dyDescent="0.3">
      <c r="A152" s="6"/>
      <c r="F152" t="s">
        <v>17</v>
      </c>
      <c r="G152">
        <f t="shared" si="94"/>
        <v>3829</v>
      </c>
      <c r="H152">
        <v>2.4224999999999999</v>
      </c>
      <c r="I152">
        <v>1.28</v>
      </c>
      <c r="J152">
        <v>1</v>
      </c>
      <c r="K152">
        <f t="shared" si="90"/>
        <v>11872.963199999998</v>
      </c>
      <c r="L152">
        <v>200</v>
      </c>
      <c r="M152">
        <v>2.68</v>
      </c>
      <c r="N152">
        <f t="shared" si="91"/>
        <v>4.2254545454545456</v>
      </c>
      <c r="O152">
        <v>0</v>
      </c>
      <c r="P152">
        <v>0.85</v>
      </c>
      <c r="Q152">
        <v>2.2200000000000002</v>
      </c>
      <c r="R152">
        <f t="shared" si="92"/>
        <v>2.887</v>
      </c>
      <c r="S152">
        <v>1.05</v>
      </c>
      <c r="T152">
        <v>1</v>
      </c>
      <c r="U152">
        <f t="shared" si="93"/>
        <v>152078.78665354123</v>
      </c>
      <c r="V152" s="7"/>
    </row>
    <row r="153" spans="1:22" x14ac:dyDescent="0.3">
      <c r="A153" s="6"/>
      <c r="F153" t="s">
        <v>17</v>
      </c>
      <c r="G153">
        <f>3199+427</f>
        <v>3626</v>
      </c>
      <c r="H153">
        <v>2.4224999999999999</v>
      </c>
      <c r="I153">
        <v>1.28</v>
      </c>
      <c r="J153">
        <v>1</v>
      </c>
      <c r="K153">
        <f t="shared" si="90"/>
        <v>11243.500799999998</v>
      </c>
      <c r="L153">
        <v>200</v>
      </c>
      <c r="M153">
        <v>2.1800000000000002</v>
      </c>
      <c r="N153">
        <f t="shared" si="91"/>
        <v>3.7254545454545456</v>
      </c>
      <c r="O153">
        <v>0</v>
      </c>
      <c r="P153">
        <v>0.85</v>
      </c>
      <c r="Q153">
        <v>2.2200000000000002</v>
      </c>
      <c r="R153">
        <f t="shared" si="92"/>
        <v>2.887</v>
      </c>
      <c r="S153">
        <v>1.05</v>
      </c>
      <c r="T153">
        <v>1</v>
      </c>
      <c r="U153">
        <f t="shared" si="93"/>
        <v>126974.61567547984</v>
      </c>
      <c r="V153" s="7"/>
    </row>
    <row r="154" spans="1:22" x14ac:dyDescent="0.3">
      <c r="A154" s="6"/>
      <c r="F154" t="s">
        <v>17</v>
      </c>
      <c r="G154">
        <f t="shared" ref="G154:G155" si="95">3199+427</f>
        <v>3626</v>
      </c>
      <c r="H154">
        <v>2.4224999999999999</v>
      </c>
      <c r="I154">
        <v>1.28</v>
      </c>
      <c r="J154">
        <v>1</v>
      </c>
      <c r="K154">
        <f t="shared" si="90"/>
        <v>11243.500799999998</v>
      </c>
      <c r="L154">
        <v>200</v>
      </c>
      <c r="M154">
        <v>2.1800000000000002</v>
      </c>
      <c r="N154">
        <f t="shared" si="91"/>
        <v>3.7254545454545456</v>
      </c>
      <c r="O154">
        <v>0</v>
      </c>
      <c r="P154">
        <v>0.85</v>
      </c>
      <c r="Q154">
        <v>2.2200000000000002</v>
      </c>
      <c r="R154">
        <f t="shared" si="92"/>
        <v>2.887</v>
      </c>
      <c r="S154">
        <v>1.05</v>
      </c>
      <c r="T154">
        <v>1</v>
      </c>
      <c r="U154">
        <f t="shared" si="93"/>
        <v>126974.61567547984</v>
      </c>
      <c r="V154" s="7"/>
    </row>
    <row r="155" spans="1:22" x14ac:dyDescent="0.3">
      <c r="A155" s="6"/>
      <c r="F155" s="6" t="s">
        <v>19</v>
      </c>
      <c r="G155">
        <f t="shared" si="95"/>
        <v>3626</v>
      </c>
      <c r="H155">
        <v>0.58320000000000005</v>
      </c>
      <c r="I155">
        <v>1.28</v>
      </c>
      <c r="J155">
        <v>4</v>
      </c>
      <c r="K155">
        <f t="shared" si="90"/>
        <v>10827.177984000002</v>
      </c>
      <c r="L155">
        <v>200</v>
      </c>
      <c r="M155">
        <v>2.1800000000000002</v>
      </c>
      <c r="N155">
        <f t="shared" si="91"/>
        <v>3.7254545454545456</v>
      </c>
      <c r="O155">
        <v>0</v>
      </c>
      <c r="P155">
        <v>0.85</v>
      </c>
      <c r="Q155">
        <v>2.2200000000000002</v>
      </c>
      <c r="R155">
        <f t="shared" si="92"/>
        <v>2.887</v>
      </c>
      <c r="S155">
        <v>1.05</v>
      </c>
      <c r="T155">
        <v>1</v>
      </c>
      <c r="U155">
        <f t="shared" si="93"/>
        <v>122273.01690309989</v>
      </c>
      <c r="V155" s="7"/>
    </row>
    <row r="156" spans="1:22" x14ac:dyDescent="0.3">
      <c r="A156" s="6"/>
      <c r="V156" s="7"/>
    </row>
    <row r="157" spans="1:22" x14ac:dyDescent="0.3">
      <c r="A157" s="6"/>
      <c r="G157" t="s">
        <v>1</v>
      </c>
      <c r="H157" t="s">
        <v>5</v>
      </c>
      <c r="I157" t="s">
        <v>7</v>
      </c>
      <c r="J157" t="s">
        <v>7</v>
      </c>
      <c r="K157" t="s">
        <v>8</v>
      </c>
      <c r="L157" t="s">
        <v>22</v>
      </c>
      <c r="M157" t="s">
        <v>0</v>
      </c>
      <c r="N157" t="s">
        <v>11</v>
      </c>
      <c r="O157" t="s">
        <v>12</v>
      </c>
      <c r="P157" t="s">
        <v>13</v>
      </c>
      <c r="Q157" t="s">
        <v>15</v>
      </c>
      <c r="R157" t="s">
        <v>23</v>
      </c>
      <c r="S157" t="s">
        <v>24</v>
      </c>
      <c r="T157" t="s">
        <v>16</v>
      </c>
      <c r="V157" s="7"/>
    </row>
    <row r="158" spans="1:22" x14ac:dyDescent="0.3">
      <c r="A158" s="6"/>
      <c r="G158">
        <f>G143</f>
        <v>4317</v>
      </c>
      <c r="H158">
        <v>0.85</v>
      </c>
      <c r="I158">
        <v>1</v>
      </c>
      <c r="J158">
        <v>1</v>
      </c>
      <c r="K158">
        <f>G158*H158*I158*J158</f>
        <v>3669.45</v>
      </c>
      <c r="L158">
        <v>1</v>
      </c>
      <c r="M158">
        <v>0.85</v>
      </c>
      <c r="N158">
        <v>2.2200000000000002</v>
      </c>
      <c r="O158">
        <f>1+M158*N158</f>
        <v>2.887</v>
      </c>
      <c r="P158">
        <v>1.25</v>
      </c>
      <c r="Q158">
        <f>K158*L158*O158*P158</f>
        <v>13242.127687499999</v>
      </c>
      <c r="R158">
        <v>18</v>
      </c>
      <c r="S158">
        <f>Q158*R158</f>
        <v>238358.29837499998</v>
      </c>
      <c r="T158">
        <f>SUM(S158:S164)</f>
        <v>505655.55703219498</v>
      </c>
      <c r="V158" s="7"/>
    </row>
    <row r="159" spans="1:22" x14ac:dyDescent="0.3">
      <c r="A159" s="6"/>
      <c r="G159">
        <f>G147</f>
        <v>4317</v>
      </c>
      <c r="H159">
        <v>1.5879000000000001</v>
      </c>
      <c r="I159">
        <v>3</v>
      </c>
      <c r="J159">
        <v>1</v>
      </c>
      <c r="K159">
        <f t="shared" ref="K159:K160" si="96">G159*H159*I159*J159</f>
        <v>20564.892900000003</v>
      </c>
      <c r="L159">
        <v>1</v>
      </c>
      <c r="M159">
        <v>0.85</v>
      </c>
      <c r="N159">
        <v>2.2200000000000002</v>
      </c>
      <c r="O159">
        <f t="shared" ref="O159:O160" si="97">1+M159*N159</f>
        <v>2.887</v>
      </c>
      <c r="P159">
        <v>1.25</v>
      </c>
      <c r="Q159">
        <f t="shared" ref="Q159:Q160" si="98">K159*L159*O159*P159</f>
        <v>74213.557252875005</v>
      </c>
      <c r="R159">
        <v>1</v>
      </c>
      <c r="S159">
        <f t="shared" ref="S159:S160" si="99">Q159*R159</f>
        <v>74213.557252875005</v>
      </c>
      <c r="V159" s="7"/>
    </row>
    <row r="160" spans="1:22" x14ac:dyDescent="0.3">
      <c r="A160" s="6"/>
      <c r="G160">
        <f>G148</f>
        <v>4317</v>
      </c>
      <c r="H160">
        <v>0.58320000000000005</v>
      </c>
      <c r="I160">
        <v>1</v>
      </c>
      <c r="J160">
        <v>1</v>
      </c>
      <c r="K160">
        <f t="shared" si="96"/>
        <v>2517.6744000000003</v>
      </c>
      <c r="L160">
        <v>1</v>
      </c>
      <c r="M160">
        <v>0.85</v>
      </c>
      <c r="N160">
        <v>2.2200000000000002</v>
      </c>
      <c r="O160">
        <f t="shared" si="97"/>
        <v>2.887</v>
      </c>
      <c r="P160">
        <v>1.25</v>
      </c>
      <c r="Q160">
        <f t="shared" si="98"/>
        <v>9085.6574910000018</v>
      </c>
      <c r="R160">
        <v>1</v>
      </c>
      <c r="S160">
        <f t="shared" si="99"/>
        <v>9085.6574910000018</v>
      </c>
      <c r="V160" s="7"/>
    </row>
    <row r="161" spans="1:22" x14ac:dyDescent="0.3">
      <c r="A161" s="6"/>
      <c r="G161">
        <f>G150</f>
        <v>3829</v>
      </c>
      <c r="H161">
        <v>0.85</v>
      </c>
      <c r="I161">
        <v>1</v>
      </c>
      <c r="J161">
        <v>1</v>
      </c>
      <c r="K161">
        <f>G161*H161*I161*J161</f>
        <v>3254.65</v>
      </c>
      <c r="L161">
        <v>1</v>
      </c>
      <c r="M161">
        <v>0.85</v>
      </c>
      <c r="N161">
        <v>2.2200000000000002</v>
      </c>
      <c r="O161">
        <f>1+M161*N161</f>
        <v>2.887</v>
      </c>
      <c r="P161">
        <v>1.05</v>
      </c>
      <c r="Q161">
        <f>K161*L161*O161*P161</f>
        <v>9865.9832774999995</v>
      </c>
      <c r="R161">
        <v>18</v>
      </c>
      <c r="S161">
        <f>Q161*R161</f>
        <v>177587.69899499998</v>
      </c>
      <c r="V161" s="7"/>
    </row>
    <row r="162" spans="1:22" x14ac:dyDescent="0.3">
      <c r="A162" s="6"/>
      <c r="G162">
        <f>G155</f>
        <v>3626</v>
      </c>
      <c r="H162">
        <v>0.58320000000000005</v>
      </c>
      <c r="I162">
        <v>1</v>
      </c>
      <c r="J162">
        <v>1</v>
      </c>
      <c r="K162">
        <f t="shared" ref="K162" si="100">G162*H162*I162*J162</f>
        <v>2114.6832000000004</v>
      </c>
      <c r="L162">
        <v>1</v>
      </c>
      <c r="M162">
        <v>0.85</v>
      </c>
      <c r="N162">
        <v>2.2200000000000002</v>
      </c>
      <c r="O162">
        <f t="shared" ref="O162" si="101">1+M162*N162</f>
        <v>2.887</v>
      </c>
      <c r="P162">
        <v>1.05</v>
      </c>
      <c r="Q162">
        <f t="shared" ref="Q162" si="102">K162*L162*O162*P162</f>
        <v>6410.3449183200019</v>
      </c>
      <c r="R162">
        <v>1</v>
      </c>
      <c r="S162">
        <f t="shared" ref="S162" si="103">Q162*R162</f>
        <v>6410.3449183200019</v>
      </c>
      <c r="V162" s="7"/>
    </row>
    <row r="163" spans="1:22" ht="14.5" thickBot="1" x14ac:dyDescent="0.35">
      <c r="A163" s="6"/>
      <c r="V163" s="7"/>
    </row>
    <row r="164" spans="1:22" x14ac:dyDescent="0.3">
      <c r="A164" s="6"/>
      <c r="F164" s="19" t="s">
        <v>3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1"/>
    </row>
    <row r="165" spans="1:22" x14ac:dyDescent="0.3">
      <c r="A165" s="6"/>
      <c r="F165" s="6" t="s">
        <v>4</v>
      </c>
      <c r="G165" t="s">
        <v>1</v>
      </c>
      <c r="H165" t="s">
        <v>5</v>
      </c>
      <c r="I165" t="s">
        <v>6</v>
      </c>
      <c r="J165" t="s">
        <v>7</v>
      </c>
      <c r="K165" t="s">
        <v>8</v>
      </c>
      <c r="L165" t="s">
        <v>2</v>
      </c>
      <c r="M165" t="s">
        <v>18</v>
      </c>
      <c r="N165" t="s">
        <v>9</v>
      </c>
      <c r="O165" t="s">
        <v>10</v>
      </c>
      <c r="P165" t="s">
        <v>0</v>
      </c>
      <c r="Q165" t="s">
        <v>11</v>
      </c>
      <c r="R165" t="s">
        <v>12</v>
      </c>
      <c r="S165" t="s">
        <v>13</v>
      </c>
      <c r="T165" t="s">
        <v>14</v>
      </c>
      <c r="U165" t="s">
        <v>15</v>
      </c>
      <c r="V165" s="7" t="s">
        <v>16</v>
      </c>
    </row>
    <row r="166" spans="1:22" x14ac:dyDescent="0.3">
      <c r="A166" s="6"/>
      <c r="F166" s="6" t="s">
        <v>32</v>
      </c>
      <c r="G166">
        <f>2604+396</f>
        <v>3000</v>
      </c>
      <c r="H166">
        <v>8.2554999999999996</v>
      </c>
      <c r="I166">
        <v>1.28</v>
      </c>
      <c r="J166">
        <v>1.3</v>
      </c>
      <c r="K166">
        <f>G166*H166*I166*J166</f>
        <v>41211.455999999998</v>
      </c>
      <c r="L166">
        <v>20</v>
      </c>
      <c r="M166">
        <v>1.4</v>
      </c>
      <c r="N166">
        <f>1+6*L166/(L166+2000)+M166</f>
        <v>2.4594059405940594</v>
      </c>
      <c r="O166">
        <v>0</v>
      </c>
      <c r="P166">
        <v>0.93</v>
      </c>
      <c r="Q166">
        <v>2.2999999999999998</v>
      </c>
      <c r="R166">
        <f>1+P166*Q166</f>
        <v>3.1389999999999998</v>
      </c>
      <c r="S166">
        <v>1.05</v>
      </c>
      <c r="T166">
        <v>1</v>
      </c>
      <c r="U166">
        <f>(K166*N166+O166)*R166*S166*T166</f>
        <v>334063.31844905816</v>
      </c>
      <c r="V166" s="7">
        <f>SUM(U166:U176)</f>
        <v>791238.67978242005</v>
      </c>
    </row>
    <row r="167" spans="1:22" x14ac:dyDescent="0.3">
      <c r="A167" s="6"/>
      <c r="F167" s="6"/>
      <c r="G167">
        <f>2604+396</f>
        <v>3000</v>
      </c>
      <c r="H167">
        <v>4.5</v>
      </c>
      <c r="I167">
        <v>1.28</v>
      </c>
      <c r="J167">
        <v>1.3</v>
      </c>
      <c r="K167">
        <f t="shared" ref="K167:K176" si="104">G167*H167*I167*J167</f>
        <v>22464</v>
      </c>
      <c r="L167">
        <v>20</v>
      </c>
      <c r="M167">
        <v>1.4</v>
      </c>
      <c r="N167">
        <f t="shared" ref="N167:N176" si="105">1+6*L167/(L167+2000)+M167</f>
        <v>2.4594059405940594</v>
      </c>
      <c r="O167">
        <v>0</v>
      </c>
      <c r="P167">
        <v>0.93</v>
      </c>
      <c r="Q167">
        <v>2.2999999999999998</v>
      </c>
      <c r="R167">
        <f>1+P167*Q167</f>
        <v>3.1389999999999998</v>
      </c>
      <c r="S167">
        <v>1.05</v>
      </c>
      <c r="T167">
        <v>1</v>
      </c>
      <c r="U167">
        <f t="shared" ref="U167:U176" si="106">(K167*N167+O167)*R167*S167*T167</f>
        <v>182094.95887841581</v>
      </c>
      <c r="V167" s="7"/>
    </row>
    <row r="168" spans="1:22" x14ac:dyDescent="0.3">
      <c r="A168" s="6"/>
      <c r="F168" s="6" t="s">
        <v>33</v>
      </c>
      <c r="G168">
        <f>189+2604+264</f>
        <v>3057</v>
      </c>
      <c r="H168">
        <v>0.72950000000000004</v>
      </c>
      <c r="I168">
        <v>1.28</v>
      </c>
      <c r="J168">
        <f>17*0.015+1</f>
        <v>1.2549999999999999</v>
      </c>
      <c r="K168">
        <f t="shared" si="104"/>
        <v>3582.4029216000004</v>
      </c>
      <c r="L168">
        <v>20</v>
      </c>
      <c r="M168">
        <v>1.6</v>
      </c>
      <c r="N168">
        <f t="shared" si="105"/>
        <v>2.6594059405940595</v>
      </c>
      <c r="O168">
        <v>0</v>
      </c>
      <c r="P168">
        <v>0.93</v>
      </c>
      <c r="Q168">
        <v>2.2999999999999998</v>
      </c>
      <c r="R168">
        <f t="shared" ref="R168:R176" si="107">1+P168*Q168</f>
        <v>3.1389999999999998</v>
      </c>
      <c r="S168">
        <v>1.05</v>
      </c>
      <c r="T168">
        <v>1</v>
      </c>
      <c r="U168">
        <f t="shared" si="106"/>
        <v>31400.725309679252</v>
      </c>
      <c r="V168" s="7"/>
    </row>
    <row r="169" spans="1:22" x14ac:dyDescent="0.3">
      <c r="A169" s="6"/>
      <c r="F169" s="6" t="s">
        <v>34</v>
      </c>
      <c r="G169">
        <f t="shared" ref="G169:G175" si="108">189+2604</f>
        <v>2793</v>
      </c>
      <c r="H169">
        <v>0.87239999999999995</v>
      </c>
      <c r="I169">
        <v>1.28</v>
      </c>
      <c r="J169">
        <f t="shared" ref="J169:J175" si="109">17*0.015+1</f>
        <v>1.2549999999999999</v>
      </c>
      <c r="K169">
        <f t="shared" si="104"/>
        <v>3914.175444479999</v>
      </c>
      <c r="L169">
        <v>20</v>
      </c>
      <c r="M169">
        <v>1.3</v>
      </c>
      <c r="N169">
        <f t="shared" si="105"/>
        <v>2.3594059405940593</v>
      </c>
      <c r="O169">
        <v>0</v>
      </c>
      <c r="P169">
        <v>0.93</v>
      </c>
      <c r="Q169">
        <v>2.2999999999999998</v>
      </c>
      <c r="R169">
        <f t="shared" si="107"/>
        <v>3.1389999999999998</v>
      </c>
      <c r="S169">
        <v>1.25</v>
      </c>
      <c r="T169">
        <v>1</v>
      </c>
      <c r="U169">
        <f t="shared" si="106"/>
        <v>36236.336614221203</v>
      </c>
      <c r="V169" s="7"/>
    </row>
    <row r="170" spans="1:22" x14ac:dyDescent="0.3">
      <c r="A170" s="6"/>
      <c r="F170" s="6" t="s">
        <v>35</v>
      </c>
      <c r="G170">
        <f t="shared" si="108"/>
        <v>2793</v>
      </c>
      <c r="H170">
        <v>0.72950000000000004</v>
      </c>
      <c r="I170">
        <v>1.28</v>
      </c>
      <c r="J170">
        <f t="shared" si="109"/>
        <v>1.2549999999999999</v>
      </c>
      <c r="K170">
        <f t="shared" si="104"/>
        <v>3273.0295584</v>
      </c>
      <c r="L170">
        <v>20</v>
      </c>
      <c r="M170">
        <v>1.3</v>
      </c>
      <c r="N170">
        <f t="shared" si="105"/>
        <v>2.3594059405940593</v>
      </c>
      <c r="O170">
        <v>0</v>
      </c>
      <c r="P170">
        <v>0.93</v>
      </c>
      <c r="Q170">
        <v>2.2999999999999998</v>
      </c>
      <c r="R170">
        <f t="shared" si="107"/>
        <v>3.1389999999999998</v>
      </c>
      <c r="S170">
        <v>1.25</v>
      </c>
      <c r="T170">
        <v>1</v>
      </c>
      <c r="U170">
        <f t="shared" si="106"/>
        <v>30300.788124798688</v>
      </c>
      <c r="V170" s="7"/>
    </row>
    <row r="171" spans="1:22" x14ac:dyDescent="0.3">
      <c r="A171" s="6"/>
      <c r="F171" s="6" t="s">
        <v>36</v>
      </c>
      <c r="G171">
        <f t="shared" si="108"/>
        <v>2793</v>
      </c>
      <c r="H171">
        <v>0.87239999999999995</v>
      </c>
      <c r="I171">
        <v>1.28</v>
      </c>
      <c r="J171">
        <f t="shared" si="109"/>
        <v>1.2549999999999999</v>
      </c>
      <c r="K171">
        <f t="shared" si="104"/>
        <v>3914.175444479999</v>
      </c>
      <c r="L171">
        <v>20</v>
      </c>
      <c r="M171">
        <v>1.3</v>
      </c>
      <c r="N171">
        <f t="shared" si="105"/>
        <v>2.3594059405940593</v>
      </c>
      <c r="O171">
        <v>0</v>
      </c>
      <c r="P171">
        <v>0.93</v>
      </c>
      <c r="Q171">
        <v>2.2999999999999998</v>
      </c>
      <c r="R171">
        <f t="shared" si="107"/>
        <v>3.1389999999999998</v>
      </c>
      <c r="S171">
        <v>1.25</v>
      </c>
      <c r="T171">
        <v>1</v>
      </c>
      <c r="U171">
        <f t="shared" si="106"/>
        <v>36236.336614221203</v>
      </c>
      <c r="V171" s="7"/>
    </row>
    <row r="172" spans="1:22" x14ac:dyDescent="0.3">
      <c r="A172" s="6"/>
      <c r="F172" s="6" t="s">
        <v>37</v>
      </c>
      <c r="G172">
        <f t="shared" si="108"/>
        <v>2793</v>
      </c>
      <c r="H172">
        <v>0.72950000000000004</v>
      </c>
      <c r="I172">
        <v>1.28</v>
      </c>
      <c r="J172">
        <f t="shared" si="109"/>
        <v>1.2549999999999999</v>
      </c>
      <c r="K172">
        <f t="shared" si="104"/>
        <v>3273.0295584</v>
      </c>
      <c r="L172">
        <v>20</v>
      </c>
      <c r="M172">
        <v>1.3</v>
      </c>
      <c r="N172">
        <f t="shared" si="105"/>
        <v>2.3594059405940593</v>
      </c>
      <c r="O172">
        <v>0</v>
      </c>
      <c r="P172">
        <v>0.93</v>
      </c>
      <c r="Q172">
        <v>2.2999999999999998</v>
      </c>
      <c r="R172">
        <f t="shared" si="107"/>
        <v>3.1389999999999998</v>
      </c>
      <c r="S172">
        <v>1.25</v>
      </c>
      <c r="T172">
        <v>1</v>
      </c>
      <c r="U172">
        <f t="shared" si="106"/>
        <v>30300.788124798688</v>
      </c>
      <c r="V172" s="7"/>
    </row>
    <row r="173" spans="1:22" x14ac:dyDescent="0.3">
      <c r="A173" s="6"/>
      <c r="F173" s="6" t="s">
        <v>38</v>
      </c>
      <c r="G173">
        <f t="shared" si="108"/>
        <v>2793</v>
      </c>
      <c r="H173">
        <v>0.87239999999999995</v>
      </c>
      <c r="I173">
        <v>1.28</v>
      </c>
      <c r="J173">
        <f t="shared" si="109"/>
        <v>1.2549999999999999</v>
      </c>
      <c r="K173">
        <f t="shared" si="104"/>
        <v>3914.175444479999</v>
      </c>
      <c r="L173">
        <v>20</v>
      </c>
      <c r="M173">
        <v>1.3</v>
      </c>
      <c r="N173">
        <f t="shared" si="105"/>
        <v>2.3594059405940593</v>
      </c>
      <c r="O173">
        <v>0</v>
      </c>
      <c r="P173">
        <v>0.93</v>
      </c>
      <c r="Q173">
        <v>2.2999999999999998</v>
      </c>
      <c r="R173">
        <f t="shared" si="107"/>
        <v>3.1389999999999998</v>
      </c>
      <c r="S173">
        <v>1.25</v>
      </c>
      <c r="T173">
        <v>1</v>
      </c>
      <c r="U173">
        <f t="shared" si="106"/>
        <v>36236.336614221203</v>
      </c>
      <c r="V173" s="7"/>
    </row>
    <row r="174" spans="1:22" x14ac:dyDescent="0.3">
      <c r="A174" s="6"/>
      <c r="F174" s="6" t="s">
        <v>39</v>
      </c>
      <c r="G174">
        <f t="shared" si="108"/>
        <v>2793</v>
      </c>
      <c r="H174">
        <v>0.72950000000000004</v>
      </c>
      <c r="I174">
        <v>1.28</v>
      </c>
      <c r="J174">
        <f t="shared" si="109"/>
        <v>1.2549999999999999</v>
      </c>
      <c r="K174">
        <f t="shared" si="104"/>
        <v>3273.0295584</v>
      </c>
      <c r="L174">
        <v>20</v>
      </c>
      <c r="M174">
        <v>1.3</v>
      </c>
      <c r="N174">
        <f t="shared" si="105"/>
        <v>2.3594059405940593</v>
      </c>
      <c r="O174">
        <v>0</v>
      </c>
      <c r="P174">
        <v>0.93</v>
      </c>
      <c r="Q174">
        <v>2.2999999999999998</v>
      </c>
      <c r="R174">
        <f t="shared" si="107"/>
        <v>3.1389999999999998</v>
      </c>
      <c r="S174">
        <v>1.05</v>
      </c>
      <c r="T174">
        <v>1</v>
      </c>
      <c r="U174">
        <f t="shared" si="106"/>
        <v>25452.662024830897</v>
      </c>
      <c r="V174" s="7"/>
    </row>
    <row r="175" spans="1:22" x14ac:dyDescent="0.3">
      <c r="A175" s="6"/>
      <c r="F175" s="6" t="s">
        <v>40</v>
      </c>
      <c r="G175">
        <f t="shared" si="108"/>
        <v>2793</v>
      </c>
      <c r="H175">
        <v>0.87239999999999995</v>
      </c>
      <c r="I175">
        <v>1.28</v>
      </c>
      <c r="J175">
        <f t="shared" si="109"/>
        <v>1.2549999999999999</v>
      </c>
      <c r="K175">
        <f t="shared" si="104"/>
        <v>3914.175444479999</v>
      </c>
      <c r="L175">
        <v>20</v>
      </c>
      <c r="M175">
        <v>1.3</v>
      </c>
      <c r="N175">
        <f t="shared" si="105"/>
        <v>2.3594059405940593</v>
      </c>
      <c r="O175">
        <v>0</v>
      </c>
      <c r="P175">
        <v>0.93</v>
      </c>
      <c r="Q175">
        <v>2.2999999999999998</v>
      </c>
      <c r="R175">
        <f t="shared" si="107"/>
        <v>3.1389999999999998</v>
      </c>
      <c r="S175">
        <v>1.05</v>
      </c>
      <c r="T175">
        <v>1</v>
      </c>
      <c r="U175">
        <f t="shared" si="106"/>
        <v>30438.522755945814</v>
      </c>
      <c r="V175" s="7"/>
    </row>
    <row r="176" spans="1:22" x14ac:dyDescent="0.3">
      <c r="A176" s="6"/>
      <c r="F176" s="6" t="s">
        <v>41</v>
      </c>
      <c r="G176">
        <v>2604</v>
      </c>
      <c r="H176">
        <v>0.72950000000000004</v>
      </c>
      <c r="I176">
        <v>1.28</v>
      </c>
      <c r="J176">
        <v>1.24</v>
      </c>
      <c r="K176">
        <f t="shared" si="104"/>
        <v>3015.0736896000003</v>
      </c>
      <c r="L176">
        <v>20</v>
      </c>
      <c r="M176">
        <v>0.8</v>
      </c>
      <c r="N176">
        <f t="shared" si="105"/>
        <v>1.8594059405940595</v>
      </c>
      <c r="O176">
        <v>0</v>
      </c>
      <c r="P176">
        <v>0.93</v>
      </c>
      <c r="Q176">
        <v>2.2999999999999998</v>
      </c>
      <c r="R176">
        <f t="shared" si="107"/>
        <v>3.1389999999999998</v>
      </c>
      <c r="S176">
        <v>1.05</v>
      </c>
      <c r="T176">
        <v>1</v>
      </c>
      <c r="U176">
        <f t="shared" si="106"/>
        <v>18477.906272229025</v>
      </c>
      <c r="V176" s="7"/>
    </row>
    <row r="177" spans="1:22" x14ac:dyDescent="0.3">
      <c r="A177" s="6"/>
      <c r="F177" s="6"/>
      <c r="V177" s="7"/>
    </row>
    <row r="178" spans="1:22" x14ac:dyDescent="0.3">
      <c r="A178" s="6"/>
      <c r="F178" s="6"/>
      <c r="G178" t="s">
        <v>1</v>
      </c>
      <c r="H178" t="s">
        <v>5</v>
      </c>
      <c r="I178" t="s">
        <v>7</v>
      </c>
      <c r="J178" t="s">
        <v>7</v>
      </c>
      <c r="K178" t="s">
        <v>8</v>
      </c>
      <c r="L178" t="s">
        <v>22</v>
      </c>
      <c r="M178" t="s">
        <v>0</v>
      </c>
      <c r="N178" t="s">
        <v>11</v>
      </c>
      <c r="O178" t="s">
        <v>12</v>
      </c>
      <c r="P178" t="s">
        <v>13</v>
      </c>
      <c r="Q178" t="s">
        <v>15</v>
      </c>
      <c r="R178" t="s">
        <v>23</v>
      </c>
      <c r="S178" t="s">
        <v>24</v>
      </c>
      <c r="T178" t="s">
        <v>16</v>
      </c>
      <c r="V178" s="7"/>
    </row>
    <row r="179" spans="1:22" x14ac:dyDescent="0.3">
      <c r="A179" s="6"/>
      <c r="F179" s="6"/>
      <c r="G179">
        <f>G166</f>
        <v>3000</v>
      </c>
      <c r="H179">
        <v>1.9454</v>
      </c>
      <c r="I179">
        <v>1</v>
      </c>
      <c r="J179">
        <v>1</v>
      </c>
      <c r="K179">
        <f>G179*H179*I179*J179</f>
        <v>5836.2</v>
      </c>
      <c r="L179">
        <v>1</v>
      </c>
      <c r="M179">
        <v>0.93</v>
      </c>
      <c r="N179">
        <v>2.2999999999999998</v>
      </c>
      <c r="O179">
        <f>1+M179*N179</f>
        <v>3.1389999999999998</v>
      </c>
      <c r="P179">
        <v>1.05</v>
      </c>
      <c r="Q179">
        <f>K179*L179*O179*P179</f>
        <v>19235.823390000001</v>
      </c>
      <c r="R179">
        <v>1</v>
      </c>
      <c r="S179">
        <f>Q179*R179</f>
        <v>19235.823390000001</v>
      </c>
      <c r="T179">
        <f>SUM(S179:S180)</f>
        <v>162160.86755326501</v>
      </c>
      <c r="V179" s="7"/>
    </row>
    <row r="180" spans="1:22" ht="14.5" thickBot="1" x14ac:dyDescent="0.35">
      <c r="A180" s="6"/>
      <c r="F180" s="8"/>
      <c r="G180" s="9">
        <f>G171</f>
        <v>2793</v>
      </c>
      <c r="H180" s="9">
        <v>1.7251000000000001</v>
      </c>
      <c r="I180" s="9">
        <v>1</v>
      </c>
      <c r="J180" s="9">
        <v>1</v>
      </c>
      <c r="K180" s="9">
        <f>G180*H180*I180*J180</f>
        <v>4818.2043000000003</v>
      </c>
      <c r="L180" s="9">
        <v>1</v>
      </c>
      <c r="M180" s="9">
        <v>0.93</v>
      </c>
      <c r="N180" s="9">
        <v>2.2999999999999998</v>
      </c>
      <c r="O180" s="9">
        <f>1+M180*N180</f>
        <v>3.1389999999999998</v>
      </c>
      <c r="P180">
        <v>1.05</v>
      </c>
      <c r="Q180" s="9">
        <f>K180*L180*O180*P180</f>
        <v>15880.560462584999</v>
      </c>
      <c r="R180" s="9">
        <v>9</v>
      </c>
      <c r="S180" s="9">
        <f>Q180*R180</f>
        <v>142925.044163265</v>
      </c>
      <c r="T180" s="9"/>
      <c r="U180" s="9"/>
      <c r="V180" s="10"/>
    </row>
    <row r="181" spans="1:22" x14ac:dyDescent="0.3">
      <c r="A181" s="6"/>
      <c r="V181" s="7"/>
    </row>
    <row r="182" spans="1:22" ht="14.5" thickBot="1" x14ac:dyDescent="0.35">
      <c r="A182" s="6"/>
      <c r="F182" s="22" t="s">
        <v>53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7"/>
    </row>
    <row r="183" spans="1:22" x14ac:dyDescent="0.3">
      <c r="A183" s="6"/>
      <c r="F183" s="3"/>
      <c r="G183" s="4" t="s">
        <v>42</v>
      </c>
      <c r="H183" s="4" t="s">
        <v>43</v>
      </c>
      <c r="I183" s="4" t="s">
        <v>6</v>
      </c>
      <c r="J183" s="4" t="s">
        <v>2</v>
      </c>
      <c r="K183" s="4" t="s">
        <v>18</v>
      </c>
      <c r="L183" s="4" t="s">
        <v>9</v>
      </c>
      <c r="M183" s="4" t="s">
        <v>0</v>
      </c>
      <c r="N183" s="4" t="s">
        <v>11</v>
      </c>
      <c r="O183" s="4" t="s">
        <v>12</v>
      </c>
      <c r="P183" s="4" t="s">
        <v>13</v>
      </c>
      <c r="Q183" s="4" t="s">
        <v>14</v>
      </c>
      <c r="R183" s="4" t="s">
        <v>48</v>
      </c>
      <c r="S183" s="4" t="s">
        <v>49</v>
      </c>
      <c r="T183" s="4" t="s">
        <v>51</v>
      </c>
      <c r="U183" s="5" t="s">
        <v>16</v>
      </c>
      <c r="V183" s="7"/>
    </row>
    <row r="184" spans="1:22" x14ac:dyDescent="0.3">
      <c r="A184" s="6"/>
      <c r="F184" s="6" t="s">
        <v>44</v>
      </c>
      <c r="G184">
        <v>1446.85</v>
      </c>
      <c r="H184">
        <v>2</v>
      </c>
      <c r="I184">
        <v>1.28</v>
      </c>
      <c r="J184">
        <v>200</v>
      </c>
      <c r="K184">
        <v>2.68</v>
      </c>
      <c r="L184">
        <f>1+6*J184/(J184+2000)+K184</f>
        <v>4.2254545454545456</v>
      </c>
      <c r="M184">
        <v>0.85</v>
      </c>
      <c r="N184">
        <v>2.2200000000000002</v>
      </c>
      <c r="O184">
        <f>1+M184*N184</f>
        <v>2.887</v>
      </c>
      <c r="P184">
        <v>1.25</v>
      </c>
      <c r="Q184">
        <v>1</v>
      </c>
      <c r="R184">
        <v>0.6</v>
      </c>
      <c r="S184">
        <f>G184*H184*I184*L184*O184*P184*Q184*R184</f>
        <v>33887.923297047266</v>
      </c>
      <c r="T184">
        <v>2</v>
      </c>
      <c r="U184" s="7">
        <f>T186*T184</f>
        <v>86865.087892296506</v>
      </c>
      <c r="V184" s="7"/>
    </row>
    <row r="185" spans="1:22" x14ac:dyDescent="0.3">
      <c r="A185" s="6"/>
      <c r="F185" s="6" t="s">
        <v>45</v>
      </c>
      <c r="G185">
        <v>1446.85</v>
      </c>
      <c r="H185">
        <v>2</v>
      </c>
      <c r="I185">
        <v>1.28</v>
      </c>
      <c r="J185">
        <v>0</v>
      </c>
      <c r="K185">
        <v>2.2000000000000002</v>
      </c>
      <c r="L185">
        <f t="shared" ref="L185:L187" si="110">1+6*J185/(J185+2000)+K185</f>
        <v>3.2</v>
      </c>
      <c r="M185">
        <v>0.5</v>
      </c>
      <c r="N185">
        <v>1.5</v>
      </c>
      <c r="O185">
        <f t="shared" ref="O185:O187" si="111">1+M185*N185</f>
        <v>1.75</v>
      </c>
      <c r="P185">
        <v>1.05</v>
      </c>
      <c r="Q185">
        <v>1</v>
      </c>
      <c r="R185">
        <v>0.3</v>
      </c>
      <c r="S185">
        <f t="shared" ref="S185:S187" si="112">G185*H185*I185*L185*O185*P185*Q185*R185</f>
        <v>6533.7431040000001</v>
      </c>
      <c r="T185" t="s">
        <v>15</v>
      </c>
      <c r="U185" s="7"/>
      <c r="V185" s="7"/>
    </row>
    <row r="186" spans="1:22" x14ac:dyDescent="0.3">
      <c r="A186" s="6"/>
      <c r="F186" s="6" t="s">
        <v>46</v>
      </c>
      <c r="G186">
        <v>1446.85</v>
      </c>
      <c r="H186">
        <v>2</v>
      </c>
      <c r="I186">
        <v>1.28</v>
      </c>
      <c r="J186">
        <v>20</v>
      </c>
      <c r="K186">
        <v>1.3</v>
      </c>
      <c r="L186">
        <f t="shared" si="110"/>
        <v>2.3594059405940593</v>
      </c>
      <c r="M186">
        <v>0.93</v>
      </c>
      <c r="N186">
        <v>2.2999999999999998</v>
      </c>
      <c r="O186">
        <f t="shared" si="111"/>
        <v>3.1389999999999998</v>
      </c>
      <c r="P186">
        <v>1.25</v>
      </c>
      <c r="Q186">
        <v>1</v>
      </c>
      <c r="R186">
        <v>0.05</v>
      </c>
      <c r="S186">
        <f t="shared" si="112"/>
        <v>1714.4999451009896</v>
      </c>
      <c r="T186">
        <f>SUM(S184:S187)</f>
        <v>43432.543946148253</v>
      </c>
      <c r="U186" s="7"/>
      <c r="V186" s="7"/>
    </row>
    <row r="187" spans="1:22" x14ac:dyDescent="0.3">
      <c r="A187" s="6"/>
      <c r="F187" s="6" t="s">
        <v>47</v>
      </c>
      <c r="G187">
        <v>1446.85</v>
      </c>
      <c r="H187">
        <v>2</v>
      </c>
      <c r="I187">
        <v>1.28</v>
      </c>
      <c r="J187">
        <v>0</v>
      </c>
      <c r="K187">
        <v>2.2000000000000002</v>
      </c>
      <c r="L187">
        <f t="shared" si="110"/>
        <v>3.2</v>
      </c>
      <c r="M187">
        <v>0.5</v>
      </c>
      <c r="N187">
        <v>1.5</v>
      </c>
      <c r="O187">
        <f t="shared" si="111"/>
        <v>1.75</v>
      </c>
      <c r="P187">
        <v>1.25</v>
      </c>
      <c r="Q187">
        <v>1</v>
      </c>
      <c r="R187">
        <v>0.05</v>
      </c>
      <c r="S187">
        <f t="shared" si="112"/>
        <v>1296.3776</v>
      </c>
      <c r="U187" s="7"/>
      <c r="V187" s="7"/>
    </row>
    <row r="188" spans="1:22" x14ac:dyDescent="0.3">
      <c r="A188" s="6"/>
      <c r="F188" s="6"/>
      <c r="U188" s="7"/>
      <c r="V188" s="7"/>
    </row>
    <row r="189" spans="1:22" x14ac:dyDescent="0.3">
      <c r="A189" s="6"/>
      <c r="F189" s="6"/>
      <c r="G189" t="s">
        <v>42</v>
      </c>
      <c r="H189" t="s">
        <v>43</v>
      </c>
      <c r="I189" t="s">
        <v>6</v>
      </c>
      <c r="J189" t="s">
        <v>2</v>
      </c>
      <c r="K189" t="s">
        <v>18</v>
      </c>
      <c r="L189" t="s">
        <v>9</v>
      </c>
      <c r="M189" t="s">
        <v>0</v>
      </c>
      <c r="N189" t="s">
        <v>11</v>
      </c>
      <c r="O189" t="s">
        <v>12</v>
      </c>
      <c r="P189" t="s">
        <v>13</v>
      </c>
      <c r="Q189" t="s">
        <v>14</v>
      </c>
      <c r="R189" t="s">
        <v>48</v>
      </c>
      <c r="S189" t="s">
        <v>49</v>
      </c>
      <c r="T189" t="s">
        <v>51</v>
      </c>
      <c r="U189" s="7" t="s">
        <v>16</v>
      </c>
      <c r="V189" s="7"/>
    </row>
    <row r="190" spans="1:22" x14ac:dyDescent="0.3">
      <c r="A190" s="6"/>
      <c r="F190" s="6" t="s">
        <v>44</v>
      </c>
      <c r="G190">
        <v>1446.85</v>
      </c>
      <c r="H190">
        <v>2</v>
      </c>
      <c r="I190">
        <v>1.28</v>
      </c>
      <c r="J190">
        <v>200</v>
      </c>
      <c r="K190">
        <v>2.68</v>
      </c>
      <c r="L190">
        <f>1+6*J190/(J190+2000)+K190</f>
        <v>4.2254545454545456</v>
      </c>
      <c r="M190">
        <v>0.85</v>
      </c>
      <c r="N190">
        <v>2.2200000000000002</v>
      </c>
      <c r="O190">
        <f>1+M190*N190</f>
        <v>2.887</v>
      </c>
      <c r="P190">
        <v>1.05</v>
      </c>
      <c r="Q190">
        <v>1</v>
      </c>
      <c r="R190">
        <v>0.6</v>
      </c>
      <c r="S190">
        <f>G190*H190*I190*L190*O190*P190*Q190*R190</f>
        <v>28465.85556951971</v>
      </c>
      <c r="T190">
        <v>2</v>
      </c>
      <c r="U190" s="7">
        <f>T192*T190</f>
        <v>75057.471622809069</v>
      </c>
      <c r="V190" s="7"/>
    </row>
    <row r="191" spans="1:22" x14ac:dyDescent="0.3">
      <c r="A191" s="6"/>
      <c r="F191" s="6" t="s">
        <v>45</v>
      </c>
      <c r="G191">
        <v>1446.85</v>
      </c>
      <c r="H191">
        <v>2</v>
      </c>
      <c r="I191">
        <v>1.28</v>
      </c>
      <c r="J191">
        <v>0</v>
      </c>
      <c r="K191">
        <v>2.2000000000000002</v>
      </c>
      <c r="L191">
        <f t="shared" ref="L191:L193" si="113">1+6*J191/(J191+2000)+K191</f>
        <v>3.2</v>
      </c>
      <c r="M191">
        <v>0.5</v>
      </c>
      <c r="N191">
        <v>1.5</v>
      </c>
      <c r="O191">
        <f t="shared" ref="O191:O193" si="114">1+M191*N191</f>
        <v>1.75</v>
      </c>
      <c r="P191">
        <v>1.05</v>
      </c>
      <c r="Q191">
        <v>1</v>
      </c>
      <c r="R191">
        <v>0.3</v>
      </c>
      <c r="S191">
        <f t="shared" ref="S191:S193" si="115">G191*H191*I191*L191*O191*P191*Q191*R191</f>
        <v>6533.7431040000001</v>
      </c>
      <c r="T191" t="s">
        <v>15</v>
      </c>
      <c r="U191" s="7"/>
      <c r="V191" s="7"/>
    </row>
    <row r="192" spans="1:22" x14ac:dyDescent="0.3">
      <c r="A192" s="6"/>
      <c r="F192" s="6" t="s">
        <v>46</v>
      </c>
      <c r="G192">
        <v>1446.85</v>
      </c>
      <c r="H192">
        <v>2</v>
      </c>
      <c r="I192">
        <v>1.28</v>
      </c>
      <c r="J192">
        <v>20</v>
      </c>
      <c r="K192">
        <v>1.3</v>
      </c>
      <c r="L192">
        <f t="shared" si="113"/>
        <v>2.3594059405940593</v>
      </c>
      <c r="M192">
        <v>0.93</v>
      </c>
      <c r="N192">
        <v>2.2999999999999998</v>
      </c>
      <c r="O192">
        <f t="shared" si="114"/>
        <v>3.1389999999999998</v>
      </c>
      <c r="P192">
        <v>1.05</v>
      </c>
      <c r="Q192">
        <v>1</v>
      </c>
      <c r="R192">
        <v>0.05</v>
      </c>
      <c r="S192">
        <f t="shared" si="115"/>
        <v>1440.1799538848315</v>
      </c>
      <c r="T192">
        <f>SUM(S190:S193)</f>
        <v>37528.735811404535</v>
      </c>
      <c r="U192" s="7"/>
      <c r="V192" s="7"/>
    </row>
    <row r="193" spans="1:22" ht="14.5" thickBot="1" x14ac:dyDescent="0.35">
      <c r="A193" s="6"/>
      <c r="F193" s="8" t="s">
        <v>47</v>
      </c>
      <c r="G193" s="9">
        <v>1446.85</v>
      </c>
      <c r="H193" s="9">
        <v>2</v>
      </c>
      <c r="I193" s="9">
        <v>1.28</v>
      </c>
      <c r="J193" s="9">
        <v>0</v>
      </c>
      <c r="K193" s="9">
        <v>2.2000000000000002</v>
      </c>
      <c r="L193" s="9">
        <f t="shared" si="113"/>
        <v>3.2</v>
      </c>
      <c r="M193">
        <v>0.5</v>
      </c>
      <c r="N193" s="9">
        <v>1.5</v>
      </c>
      <c r="O193" s="9">
        <f t="shared" si="114"/>
        <v>1.75</v>
      </c>
      <c r="P193">
        <v>1.05</v>
      </c>
      <c r="Q193" s="9">
        <v>1</v>
      </c>
      <c r="R193" s="9">
        <v>0.05</v>
      </c>
      <c r="S193" s="9">
        <f t="shared" si="115"/>
        <v>1088.9571840000001</v>
      </c>
      <c r="T193" s="9"/>
      <c r="U193" s="10"/>
      <c r="V193" s="7"/>
    </row>
    <row r="194" spans="1:22" ht="14.5" thickBot="1" x14ac:dyDescent="0.35">
      <c r="A194" s="6"/>
      <c r="F194" s="23" t="s">
        <v>54</v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7"/>
    </row>
    <row r="195" spans="1:22" x14ac:dyDescent="0.3">
      <c r="A195" s="6"/>
      <c r="F195" s="3"/>
      <c r="G195" s="4" t="s">
        <v>42</v>
      </c>
      <c r="H195" s="4" t="s">
        <v>52</v>
      </c>
      <c r="I195" s="4" t="s">
        <v>6</v>
      </c>
      <c r="J195" s="4" t="s">
        <v>2</v>
      </c>
      <c r="K195" s="4" t="s">
        <v>18</v>
      </c>
      <c r="L195" s="4" t="s">
        <v>9</v>
      </c>
      <c r="M195" s="4" t="s">
        <v>0</v>
      </c>
      <c r="N195" s="4" t="s">
        <v>11</v>
      </c>
      <c r="O195" s="4" t="s">
        <v>12</v>
      </c>
      <c r="P195" s="4" t="s">
        <v>13</v>
      </c>
      <c r="Q195" s="4" t="s">
        <v>14</v>
      </c>
      <c r="R195" s="4" t="s">
        <v>48</v>
      </c>
      <c r="S195" s="4" t="s">
        <v>49</v>
      </c>
      <c r="T195" s="4" t="s">
        <v>51</v>
      </c>
      <c r="U195" s="5" t="s">
        <v>16</v>
      </c>
      <c r="V195" s="7"/>
    </row>
    <row r="196" spans="1:22" x14ac:dyDescent="0.3">
      <c r="A196" s="6"/>
      <c r="F196" s="6" t="s">
        <v>44</v>
      </c>
      <c r="G196">
        <v>1446.85</v>
      </c>
      <c r="H196">
        <v>0.75</v>
      </c>
      <c r="I196">
        <v>1.28</v>
      </c>
      <c r="J196">
        <v>0</v>
      </c>
      <c r="K196">
        <v>2.2000000000000002</v>
      </c>
      <c r="L196">
        <f t="shared" ref="L196" si="116">1+6*J196/(J196+2000)+K196</f>
        <v>3.2</v>
      </c>
      <c r="M196">
        <v>0.5</v>
      </c>
      <c r="N196">
        <v>1.5</v>
      </c>
      <c r="O196">
        <f t="shared" ref="O196" si="117">1+M196*N196</f>
        <v>1.75</v>
      </c>
      <c r="P196">
        <v>1.05</v>
      </c>
      <c r="Q196">
        <v>1</v>
      </c>
      <c r="R196">
        <v>0.6</v>
      </c>
      <c r="S196">
        <f>G196*H196*I196*L196*O196*P196*Q196*R196</f>
        <v>4900.3073279999999</v>
      </c>
      <c r="T196">
        <v>4</v>
      </c>
      <c r="U196" s="7">
        <f>T198*T196</f>
        <v>49533.488102436939</v>
      </c>
      <c r="V196" s="7"/>
    </row>
    <row r="197" spans="1:22" x14ac:dyDescent="0.3">
      <c r="A197" s="6"/>
      <c r="F197" s="6" t="s">
        <v>45</v>
      </c>
      <c r="G197">
        <v>1446.85</v>
      </c>
      <c r="H197">
        <v>0.75</v>
      </c>
      <c r="I197">
        <v>1.28</v>
      </c>
      <c r="J197">
        <v>200</v>
      </c>
      <c r="K197">
        <v>2.68</v>
      </c>
      <c r="L197">
        <f>1+6*J197/(J197+2000)+K197</f>
        <v>4.2254545454545456</v>
      </c>
      <c r="M197">
        <v>0.85</v>
      </c>
      <c r="N197">
        <v>2.2200000000000002</v>
      </c>
      <c r="O197">
        <f>1+M197*N197</f>
        <v>2.887</v>
      </c>
      <c r="P197">
        <v>1.25</v>
      </c>
      <c r="Q197">
        <v>1</v>
      </c>
      <c r="R197">
        <v>0.3</v>
      </c>
      <c r="S197">
        <f t="shared" ref="S197:S199" si="118">G197*H197*I197*L197*O197*P197*Q197*R197</f>
        <v>6353.9856181963632</v>
      </c>
      <c r="T197" t="s">
        <v>15</v>
      </c>
      <c r="U197" s="7"/>
      <c r="V197" s="7"/>
    </row>
    <row r="198" spans="1:22" x14ac:dyDescent="0.3">
      <c r="A198" s="6"/>
      <c r="F198" s="6" t="s">
        <v>46</v>
      </c>
      <c r="G198">
        <v>1446.85</v>
      </c>
      <c r="H198">
        <v>0.75</v>
      </c>
      <c r="I198">
        <v>1.28</v>
      </c>
      <c r="J198">
        <v>20</v>
      </c>
      <c r="K198">
        <v>1.3</v>
      </c>
      <c r="L198">
        <f t="shared" ref="L198:L199" si="119">1+6*J198/(J198+2000)+K198</f>
        <v>2.3594059405940593</v>
      </c>
      <c r="M198">
        <v>0.93</v>
      </c>
      <c r="N198">
        <v>2.2999999999999998</v>
      </c>
      <c r="O198">
        <f t="shared" ref="O198:O199" si="120">1+M198*N198</f>
        <v>3.1389999999999998</v>
      </c>
      <c r="P198">
        <v>1.25</v>
      </c>
      <c r="Q198">
        <v>1</v>
      </c>
      <c r="R198">
        <v>0.05</v>
      </c>
      <c r="S198">
        <f t="shared" si="118"/>
        <v>642.9374794128712</v>
      </c>
      <c r="T198">
        <f>SUM(S196:S199)</f>
        <v>12383.372025609235</v>
      </c>
      <c r="U198" s="7"/>
      <c r="V198" s="7"/>
    </row>
    <row r="199" spans="1:22" x14ac:dyDescent="0.3">
      <c r="A199" s="6"/>
      <c r="F199" s="6" t="s">
        <v>47</v>
      </c>
      <c r="G199">
        <v>1446.85</v>
      </c>
      <c r="H199">
        <v>0.75</v>
      </c>
      <c r="I199">
        <v>1.28</v>
      </c>
      <c r="J199">
        <v>0</v>
      </c>
      <c r="K199">
        <v>2.2000000000000002</v>
      </c>
      <c r="L199">
        <f t="shared" si="119"/>
        <v>3.2</v>
      </c>
      <c r="M199">
        <v>0.5</v>
      </c>
      <c r="N199">
        <v>1.5</v>
      </c>
      <c r="O199">
        <f t="shared" si="120"/>
        <v>1.75</v>
      </c>
      <c r="P199">
        <v>1.25</v>
      </c>
      <c r="Q199">
        <v>1</v>
      </c>
      <c r="R199">
        <v>0.05</v>
      </c>
      <c r="S199">
        <f t="shared" si="118"/>
        <v>486.14159999999993</v>
      </c>
      <c r="U199" s="7"/>
      <c r="V199" s="7"/>
    </row>
    <row r="200" spans="1:22" x14ac:dyDescent="0.3">
      <c r="A200" s="6"/>
      <c r="F200" s="6"/>
      <c r="U200" s="7"/>
      <c r="V200" s="7"/>
    </row>
    <row r="201" spans="1:22" x14ac:dyDescent="0.3">
      <c r="A201" s="6"/>
      <c r="F201" s="6"/>
      <c r="G201" t="s">
        <v>42</v>
      </c>
      <c r="H201" t="s">
        <v>52</v>
      </c>
      <c r="I201" t="s">
        <v>6</v>
      </c>
      <c r="J201" t="s">
        <v>2</v>
      </c>
      <c r="K201" t="s">
        <v>18</v>
      </c>
      <c r="L201" t="s">
        <v>9</v>
      </c>
      <c r="M201" t="s">
        <v>0</v>
      </c>
      <c r="N201" t="s">
        <v>11</v>
      </c>
      <c r="O201" t="s">
        <v>12</v>
      </c>
      <c r="P201" t="s">
        <v>13</v>
      </c>
      <c r="Q201" t="s">
        <v>14</v>
      </c>
      <c r="R201" t="s">
        <v>48</v>
      </c>
      <c r="S201" t="s">
        <v>49</v>
      </c>
      <c r="T201" t="s">
        <v>51</v>
      </c>
      <c r="U201" s="7" t="s">
        <v>16</v>
      </c>
      <c r="V201" s="7"/>
    </row>
    <row r="202" spans="1:22" x14ac:dyDescent="0.3">
      <c r="A202" s="6"/>
      <c r="F202" s="6" t="s">
        <v>44</v>
      </c>
      <c r="G202">
        <v>1446.85</v>
      </c>
      <c r="H202">
        <v>0.75</v>
      </c>
      <c r="I202">
        <v>1.28</v>
      </c>
      <c r="J202">
        <v>0</v>
      </c>
      <c r="K202">
        <v>2.2000000000000002</v>
      </c>
      <c r="L202">
        <f t="shared" ref="L202" si="121">1+6*J202/(J202+2000)+K202</f>
        <v>3.2</v>
      </c>
      <c r="M202">
        <v>0.5</v>
      </c>
      <c r="N202">
        <v>1.5</v>
      </c>
      <c r="O202">
        <f t="shared" ref="O202" si="122">1+M202*N202</f>
        <v>1.75</v>
      </c>
      <c r="P202">
        <v>1.05</v>
      </c>
      <c r="Q202">
        <v>1</v>
      </c>
      <c r="R202">
        <v>0.6</v>
      </c>
      <c r="S202">
        <f>G202*H202*I202*L202*O202*P202*Q202*R202</f>
        <v>4900.3073279999999</v>
      </c>
      <c r="T202">
        <v>2</v>
      </c>
      <c r="U202" s="7">
        <f>T204*T202</f>
        <v>22733.468653395634</v>
      </c>
      <c r="V202" s="7"/>
    </row>
    <row r="203" spans="1:22" x14ac:dyDescent="0.3">
      <c r="A203" s="6"/>
      <c r="F203" s="6" t="s">
        <v>45</v>
      </c>
      <c r="G203">
        <v>1446.85</v>
      </c>
      <c r="H203">
        <v>0.75</v>
      </c>
      <c r="I203">
        <v>1.28</v>
      </c>
      <c r="J203">
        <v>200</v>
      </c>
      <c r="K203">
        <v>2.68</v>
      </c>
      <c r="L203">
        <f>1+6*J203/(J203+2000)+K203</f>
        <v>4.2254545454545456</v>
      </c>
      <c r="M203">
        <v>0.85</v>
      </c>
      <c r="N203">
        <v>2.2200000000000002</v>
      </c>
      <c r="O203">
        <f>1+M203*N203</f>
        <v>2.887</v>
      </c>
      <c r="P203">
        <v>1.05</v>
      </c>
      <c r="Q203">
        <v>1</v>
      </c>
      <c r="R203">
        <v>0.3</v>
      </c>
      <c r="S203">
        <f t="shared" ref="S203:S205" si="123">G203*H203*I203*L203*O203*P203*Q203*R203</f>
        <v>5337.3479192849454</v>
      </c>
      <c r="T203" t="s">
        <v>15</v>
      </c>
      <c r="U203" s="7"/>
      <c r="V203" s="7"/>
    </row>
    <row r="204" spans="1:22" x14ac:dyDescent="0.3">
      <c r="A204" s="6"/>
      <c r="F204" s="6" t="s">
        <v>46</v>
      </c>
      <c r="G204">
        <v>1446.85</v>
      </c>
      <c r="H204">
        <v>0.75</v>
      </c>
      <c r="I204">
        <v>1.28</v>
      </c>
      <c r="J204">
        <v>20</v>
      </c>
      <c r="K204">
        <v>1.3</v>
      </c>
      <c r="L204">
        <f t="shared" ref="L204:L205" si="124">1+6*J204/(J204+2000)+K204</f>
        <v>2.3594059405940593</v>
      </c>
      <c r="M204">
        <v>0.93</v>
      </c>
      <c r="N204">
        <v>2.2999999999999998</v>
      </c>
      <c r="O204">
        <f t="shared" ref="O204:O205" si="125">1+M204*N204</f>
        <v>3.1389999999999998</v>
      </c>
      <c r="P204">
        <v>1.25</v>
      </c>
      <c r="Q204">
        <v>1</v>
      </c>
      <c r="R204">
        <v>0.05</v>
      </c>
      <c r="S204">
        <f t="shared" si="123"/>
        <v>642.9374794128712</v>
      </c>
      <c r="T204">
        <f>SUM(S202:S205)</f>
        <v>11366.734326697817</v>
      </c>
      <c r="U204" s="7"/>
      <c r="V204" s="7"/>
    </row>
    <row r="205" spans="1:22" ht="14.5" thickBot="1" x14ac:dyDescent="0.35">
      <c r="A205" s="8"/>
      <c r="B205" s="9"/>
      <c r="C205" s="9"/>
      <c r="D205" s="9"/>
      <c r="E205" s="9"/>
      <c r="F205" s="8" t="s">
        <v>47</v>
      </c>
      <c r="G205" s="9">
        <v>1446.85</v>
      </c>
      <c r="H205" s="9">
        <v>0.75</v>
      </c>
      <c r="I205" s="9">
        <v>1.28</v>
      </c>
      <c r="J205" s="9">
        <v>0</v>
      </c>
      <c r="K205" s="9">
        <v>2.2000000000000002</v>
      </c>
      <c r="L205" s="9">
        <f t="shared" si="124"/>
        <v>3.2</v>
      </c>
      <c r="M205" s="9">
        <v>0.5</v>
      </c>
      <c r="N205" s="9">
        <v>1.5</v>
      </c>
      <c r="O205" s="9">
        <f t="shared" si="125"/>
        <v>1.75</v>
      </c>
      <c r="P205" s="9">
        <v>1.25</v>
      </c>
      <c r="Q205" s="9">
        <v>1</v>
      </c>
      <c r="R205" s="9">
        <v>0.05</v>
      </c>
      <c r="S205" s="9">
        <f t="shared" si="123"/>
        <v>486.14159999999993</v>
      </c>
      <c r="T205" s="9"/>
      <c r="U205" s="10"/>
      <c r="V205" s="10"/>
    </row>
  </sheetData>
  <mergeCells count="15">
    <mergeCell ref="A1:D1"/>
    <mergeCell ref="A2:A9"/>
    <mergeCell ref="F25:V25"/>
    <mergeCell ref="F42:U42"/>
    <mergeCell ref="F54:U54"/>
    <mergeCell ref="A70:D70"/>
    <mergeCell ref="A71:A78"/>
    <mergeCell ref="F94:V94"/>
    <mergeCell ref="F112:U112"/>
    <mergeCell ref="F124:U124"/>
    <mergeCell ref="A140:D140"/>
    <mergeCell ref="A141:A148"/>
    <mergeCell ref="F164:V164"/>
    <mergeCell ref="F182:U182"/>
    <mergeCell ref="F194:U19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96F0-3B97-4340-8082-89A7208A2DFD}">
  <dimension ref="A1:V205"/>
  <sheetViews>
    <sheetView topLeftCell="A112" zoomScale="60" zoomScaleNormal="60" workbookViewId="0">
      <selection activeCell="J169" sqref="J169"/>
    </sheetView>
  </sheetViews>
  <sheetFormatPr defaultRowHeight="14" x14ac:dyDescent="0.3"/>
  <cols>
    <col min="2" max="2" width="10.1640625" customWidth="1"/>
    <col min="6" max="6" width="3.75" customWidth="1"/>
  </cols>
  <sheetData>
    <row r="1" spans="1:22" x14ac:dyDescent="0.3">
      <c r="A1" s="15" t="s">
        <v>56</v>
      </c>
      <c r="B1" s="16"/>
      <c r="C1" s="16"/>
      <c r="D1" s="17"/>
      <c r="E1" s="4"/>
      <c r="F1" s="4" t="s">
        <v>4</v>
      </c>
      <c r="G1" s="4" t="s">
        <v>1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2</v>
      </c>
      <c r="M1" s="4" t="s">
        <v>18</v>
      </c>
      <c r="N1" s="4" t="s">
        <v>9</v>
      </c>
      <c r="O1" s="4" t="s">
        <v>10</v>
      </c>
      <c r="P1" s="4" t="s">
        <v>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5" t="s">
        <v>16</v>
      </c>
    </row>
    <row r="2" spans="1:22" x14ac:dyDescent="0.3">
      <c r="A2" s="18" t="s">
        <v>27</v>
      </c>
      <c r="B2" s="1" t="s">
        <v>25</v>
      </c>
      <c r="C2" s="1" t="s">
        <v>26</v>
      </c>
      <c r="D2" s="1" t="s">
        <v>28</v>
      </c>
      <c r="F2" t="s">
        <v>17</v>
      </c>
      <c r="G2">
        <f>3199+488+203</f>
        <v>3890</v>
      </c>
      <c r="H2">
        <v>2.4224999999999999</v>
      </c>
      <c r="I2">
        <v>1.28</v>
      </c>
      <c r="J2">
        <v>1</v>
      </c>
      <c r="K2">
        <f>G2*H2*I2*J2</f>
        <v>12062.111999999999</v>
      </c>
      <c r="L2">
        <v>200</v>
      </c>
      <c r="M2">
        <v>2.23</v>
      </c>
      <c r="N2">
        <f>1+6*L2/(L2+2000)+M2</f>
        <v>3.7754545454545454</v>
      </c>
      <c r="O2">
        <v>0</v>
      </c>
      <c r="P2">
        <v>0.85</v>
      </c>
      <c r="Q2">
        <v>2.62</v>
      </c>
      <c r="R2">
        <f>1+P2*Q2</f>
        <v>3.2269999999999999</v>
      </c>
      <c r="S2">
        <v>1.1499999999999999</v>
      </c>
      <c r="T2">
        <v>1</v>
      </c>
      <c r="U2">
        <f>(K2*N2+O2)*R2*S2*T2</f>
        <v>169001.05214841157</v>
      </c>
      <c r="V2" s="7">
        <f>SUM(U2:U16)</f>
        <v>2932736.2407101612</v>
      </c>
    </row>
    <row r="3" spans="1:22" x14ac:dyDescent="0.3">
      <c r="A3" s="18"/>
      <c r="B3" s="1">
        <f>B5+B7+B9</f>
        <v>4117862.6327833463</v>
      </c>
      <c r="C3" s="1">
        <f>B3/D3</f>
        <v>191528.49454806262</v>
      </c>
      <c r="D3" s="1">
        <v>21.5</v>
      </c>
      <c r="F3" t="s">
        <v>17</v>
      </c>
      <c r="G3">
        <f t="shared" ref="G3:G9" si="0">3199+488+203</f>
        <v>3890</v>
      </c>
      <c r="H3">
        <v>2.4224999999999999</v>
      </c>
      <c r="I3">
        <v>1.28</v>
      </c>
      <c r="J3">
        <v>1</v>
      </c>
      <c r="K3">
        <f t="shared" ref="K3:K9" si="1">G3*H3*I3*J3</f>
        <v>12062.111999999999</v>
      </c>
      <c r="L3">
        <v>200</v>
      </c>
      <c r="M3">
        <v>2.38</v>
      </c>
      <c r="N3">
        <f t="shared" ref="N3:N9" si="2">1+6*L3/(L3+2000)+M3</f>
        <v>3.9254545454545453</v>
      </c>
      <c r="O3">
        <v>0</v>
      </c>
      <c r="P3">
        <v>0.85</v>
      </c>
      <c r="Q3">
        <v>2.82</v>
      </c>
      <c r="R3">
        <f t="shared" ref="R3:R9" si="3">1+P3*Q3</f>
        <v>3.3969999999999998</v>
      </c>
      <c r="S3">
        <v>1.1499999999999999</v>
      </c>
      <c r="T3">
        <v>1</v>
      </c>
      <c r="U3">
        <f t="shared" ref="U3:U9" si="4">(K3*N3+O3)*R3*S3*T3</f>
        <v>184972.30000898612</v>
      </c>
      <c r="V3" s="7"/>
    </row>
    <row r="4" spans="1:22" x14ac:dyDescent="0.3">
      <c r="A4" s="18"/>
      <c r="B4" s="1" t="s">
        <v>29</v>
      </c>
      <c r="C4" s="1" t="s">
        <v>30</v>
      </c>
      <c r="D4" s="1"/>
      <c r="F4" t="s">
        <v>17</v>
      </c>
      <c r="G4">
        <f t="shared" si="0"/>
        <v>3890</v>
      </c>
      <c r="H4">
        <v>2.4224999999999999</v>
      </c>
      <c r="I4">
        <v>1.28</v>
      </c>
      <c r="J4">
        <v>1</v>
      </c>
      <c r="K4">
        <f t="shared" si="1"/>
        <v>12062.111999999999</v>
      </c>
      <c r="L4">
        <v>200</v>
      </c>
      <c r="M4">
        <v>2.38</v>
      </c>
      <c r="N4">
        <f t="shared" si="2"/>
        <v>3.9254545454545453</v>
      </c>
      <c r="O4">
        <v>0</v>
      </c>
      <c r="P4">
        <v>0.85</v>
      </c>
      <c r="Q4">
        <v>3.02</v>
      </c>
      <c r="R4">
        <f t="shared" si="3"/>
        <v>3.5669999999999997</v>
      </c>
      <c r="S4">
        <v>1.1499999999999999</v>
      </c>
      <c r="T4">
        <v>1</v>
      </c>
      <c r="U4">
        <f t="shared" si="4"/>
        <v>194229.08275892067</v>
      </c>
      <c r="V4" s="7"/>
    </row>
    <row r="5" spans="1:22" x14ac:dyDescent="0.3">
      <c r="A5" s="18"/>
      <c r="B5" s="1">
        <f>V2+T19</f>
        <v>3339481.4506956511</v>
      </c>
      <c r="C5" s="2">
        <f>B5/B3</f>
        <v>0.81097446624595837</v>
      </c>
      <c r="D5" s="1"/>
      <c r="F5" t="s">
        <v>17</v>
      </c>
      <c r="G5">
        <f t="shared" si="0"/>
        <v>3890</v>
      </c>
      <c r="H5">
        <v>2.4224999999999999</v>
      </c>
      <c r="I5">
        <v>1.28</v>
      </c>
      <c r="J5">
        <v>1</v>
      </c>
      <c r="K5">
        <f t="shared" si="1"/>
        <v>12062.111999999999</v>
      </c>
      <c r="L5">
        <v>200</v>
      </c>
      <c r="M5">
        <v>2.38</v>
      </c>
      <c r="N5">
        <f t="shared" si="2"/>
        <v>3.9254545454545453</v>
      </c>
      <c r="O5">
        <v>0</v>
      </c>
      <c r="P5">
        <v>0.85</v>
      </c>
      <c r="Q5">
        <v>3.22</v>
      </c>
      <c r="R5">
        <f t="shared" si="3"/>
        <v>3.7370000000000001</v>
      </c>
      <c r="S5">
        <v>1.1499999999999999</v>
      </c>
      <c r="T5">
        <v>1</v>
      </c>
      <c r="U5">
        <f t="shared" si="4"/>
        <v>203485.86550885526</v>
      </c>
      <c r="V5" s="7"/>
    </row>
    <row r="6" spans="1:22" x14ac:dyDescent="0.3">
      <c r="A6" s="18"/>
      <c r="B6" s="1" t="s">
        <v>31</v>
      </c>
      <c r="C6" s="2" t="s">
        <v>30</v>
      </c>
      <c r="D6" s="1"/>
      <c r="F6" t="s">
        <v>17</v>
      </c>
      <c r="G6">
        <f t="shared" si="0"/>
        <v>3890</v>
      </c>
      <c r="H6">
        <v>2.4224999999999999</v>
      </c>
      <c r="I6">
        <v>1.28</v>
      </c>
      <c r="J6">
        <v>1</v>
      </c>
      <c r="K6">
        <f t="shared" si="1"/>
        <v>12062.111999999999</v>
      </c>
      <c r="L6">
        <v>200</v>
      </c>
      <c r="M6">
        <v>2.38</v>
      </c>
      <c r="N6">
        <f t="shared" si="2"/>
        <v>3.9254545454545453</v>
      </c>
      <c r="O6">
        <v>0</v>
      </c>
      <c r="P6">
        <v>0.85</v>
      </c>
      <c r="Q6">
        <v>3.22</v>
      </c>
      <c r="R6">
        <f t="shared" si="3"/>
        <v>3.7370000000000001</v>
      </c>
      <c r="S6">
        <v>1.1499999999999999</v>
      </c>
      <c r="T6">
        <v>1</v>
      </c>
      <c r="U6">
        <f t="shared" si="4"/>
        <v>203485.86550885526</v>
      </c>
      <c r="V6" s="7"/>
    </row>
    <row r="7" spans="1:22" x14ac:dyDescent="0.3">
      <c r="A7" s="18"/>
      <c r="B7" s="1">
        <f>V27+T39</f>
        <v>586299.57437125291</v>
      </c>
      <c r="C7" s="2">
        <f>B7/B3</f>
        <v>0.14237958539548495</v>
      </c>
      <c r="D7" s="1"/>
      <c r="F7" t="s">
        <v>17</v>
      </c>
      <c r="G7">
        <f t="shared" si="0"/>
        <v>3890</v>
      </c>
      <c r="H7">
        <v>2.4224999999999999</v>
      </c>
      <c r="I7">
        <v>1.28</v>
      </c>
      <c r="J7">
        <v>1</v>
      </c>
      <c r="K7">
        <f t="shared" si="1"/>
        <v>12062.111999999999</v>
      </c>
      <c r="L7">
        <v>200</v>
      </c>
      <c r="M7">
        <v>2.38</v>
      </c>
      <c r="N7">
        <f t="shared" si="2"/>
        <v>3.9254545454545453</v>
      </c>
      <c r="O7">
        <v>0</v>
      </c>
      <c r="P7">
        <v>0.85</v>
      </c>
      <c r="Q7">
        <v>3.22</v>
      </c>
      <c r="R7">
        <f t="shared" si="3"/>
        <v>3.7370000000000001</v>
      </c>
      <c r="S7">
        <v>1.1499999999999999</v>
      </c>
      <c r="T7">
        <v>1</v>
      </c>
      <c r="U7">
        <f t="shared" si="4"/>
        <v>203485.86550885526</v>
      </c>
      <c r="V7" s="7"/>
    </row>
    <row r="8" spans="1:22" x14ac:dyDescent="0.3">
      <c r="A8" s="18"/>
      <c r="B8" s="1" t="s">
        <v>50</v>
      </c>
      <c r="C8" s="2" t="s">
        <v>30</v>
      </c>
      <c r="D8" s="1"/>
      <c r="F8" s="6" t="s">
        <v>20</v>
      </c>
      <c r="G8">
        <f t="shared" si="0"/>
        <v>3890</v>
      </c>
      <c r="H8">
        <v>5.9543999999999997</v>
      </c>
      <c r="I8">
        <v>1.28</v>
      </c>
      <c r="J8">
        <v>2</v>
      </c>
      <c r="K8">
        <f t="shared" si="1"/>
        <v>59296.29696</v>
      </c>
      <c r="L8">
        <v>200</v>
      </c>
      <c r="M8">
        <v>2.38</v>
      </c>
      <c r="N8">
        <f t="shared" si="2"/>
        <v>3.9254545454545453</v>
      </c>
      <c r="O8">
        <v>0</v>
      </c>
      <c r="P8">
        <v>0.85</v>
      </c>
      <c r="Q8">
        <v>2.2200000000000002</v>
      </c>
      <c r="R8">
        <f t="shared" si="3"/>
        <v>2.887</v>
      </c>
      <c r="S8">
        <v>1.1499999999999999</v>
      </c>
      <c r="T8">
        <v>1</v>
      </c>
      <c r="U8">
        <f t="shared" si="4"/>
        <v>772791.16743436654</v>
      </c>
      <c r="V8" s="7"/>
    </row>
    <row r="9" spans="1:22" x14ac:dyDescent="0.3">
      <c r="A9" s="18"/>
      <c r="B9" s="1">
        <f>U44+U50+U56+U62</f>
        <v>192081.6077164427</v>
      </c>
      <c r="C9" s="2">
        <f>B9/B3</f>
        <v>4.6645948358556795E-2</v>
      </c>
      <c r="D9" s="1"/>
      <c r="F9" s="6" t="s">
        <v>19</v>
      </c>
      <c r="G9">
        <f t="shared" si="0"/>
        <v>3890</v>
      </c>
      <c r="H9">
        <v>0.58320000000000005</v>
      </c>
      <c r="I9">
        <v>1.28</v>
      </c>
      <c r="J9">
        <v>4</v>
      </c>
      <c r="K9">
        <f t="shared" si="1"/>
        <v>11615.477760000002</v>
      </c>
      <c r="L9">
        <v>200</v>
      </c>
      <c r="M9">
        <v>2.38</v>
      </c>
      <c r="N9">
        <f t="shared" si="2"/>
        <v>3.9254545454545453</v>
      </c>
      <c r="O9">
        <v>0</v>
      </c>
      <c r="P9">
        <v>0.85</v>
      </c>
      <c r="Q9">
        <v>2.2200000000000002</v>
      </c>
      <c r="R9">
        <f t="shared" si="3"/>
        <v>2.887</v>
      </c>
      <c r="S9">
        <v>1.1499999999999999</v>
      </c>
      <c r="T9">
        <v>1</v>
      </c>
      <c r="U9">
        <f t="shared" si="4"/>
        <v>151381.0993039509</v>
      </c>
      <c r="V9" s="7"/>
    </row>
    <row r="10" spans="1:22" x14ac:dyDescent="0.3">
      <c r="A10" s="6"/>
      <c r="F10" t="s">
        <v>17</v>
      </c>
      <c r="G10">
        <f>3199+488+203</f>
        <v>3890</v>
      </c>
      <c r="H10">
        <v>2.4224999999999999</v>
      </c>
      <c r="I10">
        <v>1.28</v>
      </c>
      <c r="J10">
        <v>1</v>
      </c>
      <c r="K10">
        <f>G10*H10*I10*J10</f>
        <v>12062.111999999999</v>
      </c>
      <c r="L10">
        <v>200</v>
      </c>
      <c r="M10">
        <v>2.38</v>
      </c>
      <c r="N10">
        <f>1+6*L10/(L10+2000)+M10</f>
        <v>3.9254545454545453</v>
      </c>
      <c r="O10">
        <v>0</v>
      </c>
      <c r="P10">
        <v>0.85</v>
      </c>
      <c r="Q10">
        <v>2.62</v>
      </c>
      <c r="R10">
        <f>1+P10*Q10</f>
        <v>3.2269999999999999</v>
      </c>
      <c r="S10">
        <v>0.9</v>
      </c>
      <c r="T10">
        <v>1</v>
      </c>
      <c r="U10">
        <f>(K10*N10+O10)*R10*S10*T10</f>
        <v>137516.49176795344</v>
      </c>
      <c r="V10" s="7"/>
    </row>
    <row r="11" spans="1:22" x14ac:dyDescent="0.3">
      <c r="A11" s="6"/>
      <c r="F11" t="s">
        <v>17</v>
      </c>
      <c r="G11">
        <f>3199+203</f>
        <v>3402</v>
      </c>
      <c r="H11">
        <v>2.4224999999999999</v>
      </c>
      <c r="I11">
        <v>1.28</v>
      </c>
      <c r="J11">
        <v>1</v>
      </c>
      <c r="K11">
        <f t="shared" ref="K11:K16" si="5">G11*H11*I11*J11</f>
        <v>10548.9216</v>
      </c>
      <c r="L11">
        <v>200</v>
      </c>
      <c r="M11">
        <v>2.38</v>
      </c>
      <c r="N11">
        <f t="shared" ref="N11:N16" si="6">1+6*L11/(L11+2000)+M11</f>
        <v>3.9254545454545453</v>
      </c>
      <c r="O11">
        <v>0</v>
      </c>
      <c r="P11">
        <v>0.85</v>
      </c>
      <c r="Q11">
        <v>2.82</v>
      </c>
      <c r="R11">
        <f t="shared" ref="R11:R16" si="7">1+P11*Q11</f>
        <v>3.3969999999999998</v>
      </c>
      <c r="S11">
        <v>0.9</v>
      </c>
      <c r="T11">
        <v>1</v>
      </c>
      <c r="U11">
        <f t="shared" ref="U11:U16" si="8">(K11*N11+O11)*R11*S11*T11</f>
        <v>126600.69032469291</v>
      </c>
      <c r="V11" s="7"/>
    </row>
    <row r="12" spans="1:22" x14ac:dyDescent="0.3">
      <c r="A12" s="6"/>
      <c r="F12" t="s">
        <v>17</v>
      </c>
      <c r="G12">
        <f t="shared" ref="G12:G13" si="9">3199+203</f>
        <v>3402</v>
      </c>
      <c r="H12">
        <v>2.4224999999999999</v>
      </c>
      <c r="I12">
        <v>1.28</v>
      </c>
      <c r="J12">
        <v>1</v>
      </c>
      <c r="K12">
        <f t="shared" si="5"/>
        <v>10548.9216</v>
      </c>
      <c r="L12">
        <v>200</v>
      </c>
      <c r="M12">
        <v>2.38</v>
      </c>
      <c r="N12">
        <f t="shared" si="6"/>
        <v>3.9254545454545453</v>
      </c>
      <c r="O12">
        <v>0</v>
      </c>
      <c r="P12">
        <v>0.85</v>
      </c>
      <c r="Q12">
        <v>3.02</v>
      </c>
      <c r="R12">
        <f t="shared" si="7"/>
        <v>3.5669999999999997</v>
      </c>
      <c r="S12">
        <v>0.9</v>
      </c>
      <c r="T12">
        <v>1</v>
      </c>
      <c r="U12">
        <f t="shared" si="8"/>
        <v>132936.31509808055</v>
      </c>
      <c r="V12" s="7"/>
    </row>
    <row r="13" spans="1:22" x14ac:dyDescent="0.3">
      <c r="A13" s="6"/>
      <c r="F13" t="s">
        <v>17</v>
      </c>
      <c r="G13">
        <f t="shared" si="9"/>
        <v>3402</v>
      </c>
      <c r="H13">
        <v>2.4224999999999999</v>
      </c>
      <c r="I13">
        <v>1.28</v>
      </c>
      <c r="J13">
        <v>1</v>
      </c>
      <c r="K13">
        <f t="shared" si="5"/>
        <v>10548.9216</v>
      </c>
      <c r="L13">
        <v>200</v>
      </c>
      <c r="M13">
        <v>2.38</v>
      </c>
      <c r="N13">
        <f t="shared" si="6"/>
        <v>3.9254545454545453</v>
      </c>
      <c r="O13">
        <v>0</v>
      </c>
      <c r="P13">
        <v>0.85</v>
      </c>
      <c r="Q13">
        <v>3.22</v>
      </c>
      <c r="R13">
        <f t="shared" si="7"/>
        <v>3.7370000000000001</v>
      </c>
      <c r="S13">
        <v>0.9</v>
      </c>
      <c r="T13">
        <v>1</v>
      </c>
      <c r="U13">
        <f t="shared" si="8"/>
        <v>139271.9398714682</v>
      </c>
      <c r="V13" s="7"/>
    </row>
    <row r="14" spans="1:22" x14ac:dyDescent="0.3">
      <c r="A14" s="6"/>
      <c r="F14" t="s">
        <v>17</v>
      </c>
      <c r="G14">
        <f>3199</f>
        <v>3199</v>
      </c>
      <c r="H14">
        <v>2.4224999999999999</v>
      </c>
      <c r="I14">
        <v>1.28</v>
      </c>
      <c r="J14">
        <v>1</v>
      </c>
      <c r="K14">
        <f t="shared" si="5"/>
        <v>9919.4591999999993</v>
      </c>
      <c r="L14">
        <v>200</v>
      </c>
      <c r="M14">
        <v>1.88</v>
      </c>
      <c r="N14">
        <f t="shared" si="6"/>
        <v>3.4254545454545453</v>
      </c>
      <c r="O14">
        <v>0</v>
      </c>
      <c r="P14">
        <v>0.85</v>
      </c>
      <c r="Q14">
        <v>3.22</v>
      </c>
      <c r="R14">
        <f t="shared" si="7"/>
        <v>3.7370000000000001</v>
      </c>
      <c r="S14">
        <v>0.9</v>
      </c>
      <c r="T14">
        <v>1</v>
      </c>
      <c r="U14">
        <f t="shared" si="8"/>
        <v>114280.41575990224</v>
      </c>
      <c r="V14" s="7"/>
    </row>
    <row r="15" spans="1:22" x14ac:dyDescent="0.3">
      <c r="A15" s="6"/>
      <c r="F15" t="s">
        <v>17</v>
      </c>
      <c r="G15">
        <f>3199</f>
        <v>3199</v>
      </c>
      <c r="H15">
        <v>2.4224999999999999</v>
      </c>
      <c r="I15">
        <v>1.28</v>
      </c>
      <c r="J15">
        <v>1</v>
      </c>
      <c r="K15">
        <f t="shared" si="5"/>
        <v>9919.4591999999993</v>
      </c>
      <c r="L15">
        <v>200</v>
      </c>
      <c r="M15">
        <v>1.88</v>
      </c>
      <c r="N15">
        <f t="shared" si="6"/>
        <v>3.4254545454545453</v>
      </c>
      <c r="O15">
        <v>0</v>
      </c>
      <c r="P15">
        <v>0.85</v>
      </c>
      <c r="Q15">
        <v>3.22</v>
      </c>
      <c r="R15">
        <f t="shared" si="7"/>
        <v>3.7370000000000001</v>
      </c>
      <c r="S15">
        <v>0.9</v>
      </c>
      <c r="T15">
        <v>1</v>
      </c>
      <c r="U15">
        <f t="shared" si="8"/>
        <v>114280.41575990224</v>
      </c>
      <c r="V15" s="7"/>
    </row>
    <row r="16" spans="1:22" x14ac:dyDescent="0.3">
      <c r="A16" s="6"/>
      <c r="F16" s="6" t="s">
        <v>19</v>
      </c>
      <c r="G16">
        <f>3199</f>
        <v>3199</v>
      </c>
      <c r="H16">
        <v>0.58320000000000005</v>
      </c>
      <c r="I16">
        <v>1.28</v>
      </c>
      <c r="J16">
        <v>4</v>
      </c>
      <c r="K16">
        <f t="shared" si="5"/>
        <v>9552.1628160000018</v>
      </c>
      <c r="L16">
        <v>200</v>
      </c>
      <c r="M16">
        <v>1.88</v>
      </c>
      <c r="N16">
        <f t="shared" si="6"/>
        <v>3.4254545454545453</v>
      </c>
      <c r="O16">
        <v>0</v>
      </c>
      <c r="P16">
        <v>0.85</v>
      </c>
      <c r="Q16">
        <v>2.2200000000000002</v>
      </c>
      <c r="R16">
        <f t="shared" si="7"/>
        <v>2.887</v>
      </c>
      <c r="S16">
        <v>0.9</v>
      </c>
      <c r="T16">
        <v>1</v>
      </c>
      <c r="U16">
        <f t="shared" si="8"/>
        <v>85017.673946958763</v>
      </c>
      <c r="V16" s="7"/>
    </row>
    <row r="17" spans="1:22" x14ac:dyDescent="0.3">
      <c r="A17" s="6"/>
      <c r="V17" s="7"/>
    </row>
    <row r="18" spans="1:22" x14ac:dyDescent="0.3">
      <c r="A18" s="6"/>
      <c r="G18" t="s">
        <v>1</v>
      </c>
      <c r="H18" t="s">
        <v>5</v>
      </c>
      <c r="I18" t="s">
        <v>7</v>
      </c>
      <c r="J18" t="s">
        <v>7</v>
      </c>
      <c r="K18" t="s">
        <v>8</v>
      </c>
      <c r="L18" t="s">
        <v>22</v>
      </c>
      <c r="M18" t="s">
        <v>0</v>
      </c>
      <c r="N18" t="s">
        <v>11</v>
      </c>
      <c r="O18" t="s">
        <v>12</v>
      </c>
      <c r="P18" t="s">
        <v>13</v>
      </c>
      <c r="Q18" t="s">
        <v>15</v>
      </c>
      <c r="R18" t="s">
        <v>23</v>
      </c>
      <c r="S18" t="s">
        <v>24</v>
      </c>
      <c r="T18" t="s">
        <v>16</v>
      </c>
      <c r="V18" s="7"/>
    </row>
    <row r="19" spans="1:22" x14ac:dyDescent="0.3">
      <c r="A19" s="6"/>
      <c r="G19">
        <f>3199+488+203</f>
        <v>3890</v>
      </c>
      <c r="H19">
        <v>0.85</v>
      </c>
      <c r="I19">
        <v>1</v>
      </c>
      <c r="J19">
        <v>1</v>
      </c>
      <c r="K19">
        <f>G19*H19*I19*J19</f>
        <v>3306.5</v>
      </c>
      <c r="L19">
        <v>1</v>
      </c>
      <c r="M19">
        <v>0.85</v>
      </c>
      <c r="N19">
        <v>2.2200000000000002</v>
      </c>
      <c r="O19">
        <f>1+M19*N19</f>
        <v>2.887</v>
      </c>
      <c r="P19">
        <v>1.1499999999999999</v>
      </c>
      <c r="Q19">
        <f>K19*L19*O19*P19</f>
        <v>10977.745325</v>
      </c>
      <c r="R19">
        <v>18</v>
      </c>
      <c r="S19">
        <f>Q19*R19</f>
        <v>197599.41584999999</v>
      </c>
      <c r="T19">
        <f>SUM(S19:S25)</f>
        <v>406745.20998549002</v>
      </c>
      <c r="V19" s="7"/>
    </row>
    <row r="20" spans="1:22" x14ac:dyDescent="0.3">
      <c r="A20" s="6"/>
      <c r="G20">
        <f t="shared" ref="G20:G21" si="10">3199+488+203</f>
        <v>3890</v>
      </c>
      <c r="H20">
        <v>1.5879000000000001</v>
      </c>
      <c r="I20">
        <v>3</v>
      </c>
      <c r="J20">
        <v>1</v>
      </c>
      <c r="K20">
        <f t="shared" ref="K20:K21" si="11">G20*H20*I20*J20</f>
        <v>18530.793000000001</v>
      </c>
      <c r="L20">
        <v>1</v>
      </c>
      <c r="M20">
        <v>0.85</v>
      </c>
      <c r="N20">
        <v>2.2200000000000002</v>
      </c>
      <c r="O20">
        <f t="shared" ref="O20:O21" si="12">1+M20*N20</f>
        <v>2.887</v>
      </c>
      <c r="P20">
        <v>1.1499999999999999</v>
      </c>
      <c r="Q20">
        <f t="shared" ref="Q20:Q21" si="13">K20*L20*O20*P20</f>
        <v>61523.159299650004</v>
      </c>
      <c r="R20">
        <v>1</v>
      </c>
      <c r="S20">
        <f t="shared" ref="S20:S21" si="14">Q20*R20</f>
        <v>61523.159299650004</v>
      </c>
      <c r="V20" s="7"/>
    </row>
    <row r="21" spans="1:22" x14ac:dyDescent="0.3">
      <c r="A21" s="6"/>
      <c r="G21">
        <f t="shared" si="10"/>
        <v>3890</v>
      </c>
      <c r="H21">
        <v>0.58320000000000005</v>
      </c>
      <c r="I21">
        <v>1</v>
      </c>
      <c r="J21">
        <v>1</v>
      </c>
      <c r="K21">
        <f t="shared" si="11"/>
        <v>2268.6480000000001</v>
      </c>
      <c r="L21">
        <v>1</v>
      </c>
      <c r="M21">
        <v>0.85</v>
      </c>
      <c r="N21">
        <v>2.2200000000000002</v>
      </c>
      <c r="O21">
        <f t="shared" si="12"/>
        <v>2.887</v>
      </c>
      <c r="P21">
        <v>1.1499999999999999</v>
      </c>
      <c r="Q21">
        <f t="shared" si="13"/>
        <v>7532.0247923999996</v>
      </c>
      <c r="R21">
        <v>1</v>
      </c>
      <c r="S21">
        <f t="shared" si="14"/>
        <v>7532.0247923999996</v>
      </c>
      <c r="V21" s="7"/>
    </row>
    <row r="22" spans="1:22" x14ac:dyDescent="0.3">
      <c r="A22" s="6"/>
      <c r="G22">
        <f>G11</f>
        <v>3402</v>
      </c>
      <c r="H22">
        <v>0.85</v>
      </c>
      <c r="I22">
        <v>1</v>
      </c>
      <c r="J22">
        <v>1</v>
      </c>
      <c r="K22">
        <f>G22*H22*I22*J22</f>
        <v>2891.7</v>
      </c>
      <c r="L22">
        <v>1</v>
      </c>
      <c r="M22">
        <v>0.85</v>
      </c>
      <c r="N22">
        <v>2.2200000000000002</v>
      </c>
      <c r="O22">
        <f>1+M22*N22</f>
        <v>2.887</v>
      </c>
      <c r="P22">
        <v>0.9</v>
      </c>
      <c r="Q22">
        <f>K22*L22*O22*P22</f>
        <v>7513.5041099999989</v>
      </c>
      <c r="R22">
        <v>18</v>
      </c>
      <c r="S22">
        <f>Q22*R22</f>
        <v>135243.07397999999</v>
      </c>
      <c r="V22" s="7"/>
    </row>
    <row r="23" spans="1:22" x14ac:dyDescent="0.3">
      <c r="A23" s="6"/>
      <c r="G23">
        <f>G16</f>
        <v>3199</v>
      </c>
      <c r="H23">
        <v>0.58320000000000005</v>
      </c>
      <c r="I23">
        <v>1</v>
      </c>
      <c r="J23">
        <v>1</v>
      </c>
      <c r="K23">
        <f t="shared" ref="K23" si="15">G23*H23*I23*J23</f>
        <v>1865.6568000000002</v>
      </c>
      <c r="L23">
        <v>1</v>
      </c>
      <c r="M23">
        <v>0.85</v>
      </c>
      <c r="N23">
        <v>2.2200000000000002</v>
      </c>
      <c r="O23">
        <f t="shared" ref="O23" si="16">1+M23*N23</f>
        <v>2.887</v>
      </c>
      <c r="P23">
        <v>0.9</v>
      </c>
      <c r="Q23">
        <f t="shared" ref="Q23" si="17">K23*L23*O23*P23</f>
        <v>4847.5360634400004</v>
      </c>
      <c r="R23">
        <v>1</v>
      </c>
      <c r="S23">
        <f t="shared" ref="S23" si="18">Q23*R23</f>
        <v>4847.5360634400004</v>
      </c>
      <c r="V23" s="7"/>
    </row>
    <row r="24" spans="1:22" ht="14.5" thickBot="1" x14ac:dyDescent="0.35">
      <c r="A24" s="6"/>
      <c r="V24" s="7"/>
    </row>
    <row r="25" spans="1:22" x14ac:dyDescent="0.3">
      <c r="A25" s="6"/>
      <c r="F25" s="19" t="s">
        <v>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  <row r="26" spans="1:22" x14ac:dyDescent="0.3">
      <c r="A26" s="6"/>
      <c r="F26" s="6" t="s">
        <v>4</v>
      </c>
      <c r="G26" t="s">
        <v>1</v>
      </c>
      <c r="H26" t="s">
        <v>5</v>
      </c>
      <c r="I26" t="s">
        <v>6</v>
      </c>
      <c r="J26" t="s">
        <v>7</v>
      </c>
      <c r="K26" t="s">
        <v>8</v>
      </c>
      <c r="L26" t="s">
        <v>2</v>
      </c>
      <c r="M26" t="s">
        <v>18</v>
      </c>
      <c r="N26" t="s">
        <v>9</v>
      </c>
      <c r="O26" t="s">
        <v>10</v>
      </c>
      <c r="P26" t="s">
        <v>0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V26" s="7" t="s">
        <v>16</v>
      </c>
    </row>
    <row r="27" spans="1:22" x14ac:dyDescent="0.3">
      <c r="A27" s="6"/>
      <c r="F27" s="6" t="s">
        <v>32</v>
      </c>
      <c r="G27">
        <v>2604</v>
      </c>
      <c r="H27">
        <v>8.2554999999999996</v>
      </c>
      <c r="I27">
        <v>1.28</v>
      </c>
      <c r="J27">
        <f>16*0.015+1</f>
        <v>1.24</v>
      </c>
      <c r="K27">
        <f>G27*H27*I27*J27</f>
        <v>34120.549478399997</v>
      </c>
      <c r="L27">
        <v>20</v>
      </c>
      <c r="M27">
        <v>1.1000000000000001</v>
      </c>
      <c r="N27">
        <f>1+6*L27/(L27+2000)+M27</f>
        <v>2.1594059405940595</v>
      </c>
      <c r="O27">
        <v>0</v>
      </c>
      <c r="P27">
        <v>0.93</v>
      </c>
      <c r="Q27">
        <v>2.2999999999999998</v>
      </c>
      <c r="R27">
        <f>1+P27*Q27</f>
        <v>3.1389999999999998</v>
      </c>
      <c r="S27">
        <v>0.9</v>
      </c>
      <c r="T27">
        <v>1</v>
      </c>
      <c r="U27">
        <f>(K27*N27+O27)*R27*S27*T27</f>
        <v>208153.69921469712</v>
      </c>
      <c r="V27" s="7">
        <f>SUM(U27:U36)</f>
        <v>449480.94105772296</v>
      </c>
    </row>
    <row r="28" spans="1:22" x14ac:dyDescent="0.3">
      <c r="A28" s="6"/>
      <c r="F28" s="6" t="s">
        <v>33</v>
      </c>
      <c r="G28">
        <f>189+2604</f>
        <v>2793</v>
      </c>
      <c r="H28">
        <v>0.72950000000000004</v>
      </c>
      <c r="I28">
        <v>1.28</v>
      </c>
      <c r="J28">
        <f>17*0.015+1</f>
        <v>1.2549999999999999</v>
      </c>
      <c r="K28">
        <f t="shared" ref="K28:K36" si="19">G28*H28*I28*J28</f>
        <v>3273.0295584</v>
      </c>
      <c r="L28">
        <v>20</v>
      </c>
      <c r="M28">
        <v>1.3</v>
      </c>
      <c r="N28">
        <f t="shared" ref="N28:N36" si="20">1+6*L28/(L28+2000)+M28</f>
        <v>2.3594059405940593</v>
      </c>
      <c r="O28">
        <v>0</v>
      </c>
      <c r="P28">
        <v>0.93</v>
      </c>
      <c r="Q28">
        <v>2.2999999999999998</v>
      </c>
      <c r="R28">
        <f t="shared" ref="R28:R36" si="21">1+P28*Q28</f>
        <v>3.1389999999999998</v>
      </c>
      <c r="S28">
        <v>0.9</v>
      </c>
      <c r="T28">
        <v>1</v>
      </c>
      <c r="U28">
        <f t="shared" ref="U28:U36" si="22">(K28*N28+O28)*R28*S28*T28</f>
        <v>21816.567449855054</v>
      </c>
      <c r="V28" s="7"/>
    </row>
    <row r="29" spans="1:22" x14ac:dyDescent="0.3">
      <c r="A29" s="6"/>
      <c r="F29" s="6" t="s">
        <v>34</v>
      </c>
      <c r="G29">
        <f t="shared" ref="G29:G35" si="23">189+2604</f>
        <v>2793</v>
      </c>
      <c r="H29">
        <v>0.87239999999999995</v>
      </c>
      <c r="I29">
        <v>1.28</v>
      </c>
      <c r="J29">
        <f t="shared" ref="J29:J35" si="24">17*0.015+1</f>
        <v>1.2549999999999999</v>
      </c>
      <c r="K29">
        <f t="shared" si="19"/>
        <v>3914.175444479999</v>
      </c>
      <c r="L29">
        <v>20</v>
      </c>
      <c r="M29">
        <v>1.3</v>
      </c>
      <c r="N29">
        <f t="shared" si="20"/>
        <v>2.3594059405940593</v>
      </c>
      <c r="O29">
        <v>0</v>
      </c>
      <c r="P29">
        <v>0.93</v>
      </c>
      <c r="Q29">
        <v>2.2999999999999998</v>
      </c>
      <c r="R29">
        <f t="shared" si="21"/>
        <v>3.1389999999999998</v>
      </c>
      <c r="S29">
        <v>1.1499999999999999</v>
      </c>
      <c r="T29">
        <v>1</v>
      </c>
      <c r="U29">
        <f t="shared" si="22"/>
        <v>33337.429685083509</v>
      </c>
      <c r="V29" s="7"/>
    </row>
    <row r="30" spans="1:22" x14ac:dyDescent="0.3">
      <c r="A30" s="6"/>
      <c r="F30" s="6" t="s">
        <v>35</v>
      </c>
      <c r="G30">
        <f t="shared" si="23"/>
        <v>2793</v>
      </c>
      <c r="H30">
        <v>0.72950000000000004</v>
      </c>
      <c r="I30">
        <v>1.28</v>
      </c>
      <c r="J30">
        <f t="shared" si="24"/>
        <v>1.2549999999999999</v>
      </c>
      <c r="K30">
        <f t="shared" si="19"/>
        <v>3273.0295584</v>
      </c>
      <c r="L30">
        <v>20</v>
      </c>
      <c r="M30">
        <v>1.3</v>
      </c>
      <c r="N30">
        <f t="shared" si="20"/>
        <v>2.3594059405940593</v>
      </c>
      <c r="O30">
        <v>0</v>
      </c>
      <c r="P30">
        <v>0.93</v>
      </c>
      <c r="Q30">
        <v>2.2999999999999998</v>
      </c>
      <c r="R30">
        <f t="shared" si="21"/>
        <v>3.1389999999999998</v>
      </c>
      <c r="S30">
        <v>1.1499999999999999</v>
      </c>
      <c r="T30">
        <v>1</v>
      </c>
      <c r="U30">
        <f t="shared" si="22"/>
        <v>27876.725074814789</v>
      </c>
      <c r="V30" s="7"/>
    </row>
    <row r="31" spans="1:22" x14ac:dyDescent="0.3">
      <c r="A31" s="6"/>
      <c r="F31" s="6" t="s">
        <v>36</v>
      </c>
      <c r="G31">
        <f t="shared" si="23"/>
        <v>2793</v>
      </c>
      <c r="H31">
        <v>0.87239999999999995</v>
      </c>
      <c r="I31">
        <v>1.28</v>
      </c>
      <c r="J31">
        <f t="shared" si="24"/>
        <v>1.2549999999999999</v>
      </c>
      <c r="K31">
        <f t="shared" si="19"/>
        <v>3914.175444479999</v>
      </c>
      <c r="L31">
        <v>20</v>
      </c>
      <c r="M31">
        <v>1.3</v>
      </c>
      <c r="N31">
        <f t="shared" si="20"/>
        <v>2.3594059405940593</v>
      </c>
      <c r="O31">
        <v>0</v>
      </c>
      <c r="P31">
        <v>0.93</v>
      </c>
      <c r="Q31">
        <v>2.2999999999999998</v>
      </c>
      <c r="R31">
        <f t="shared" si="21"/>
        <v>3.1389999999999998</v>
      </c>
      <c r="S31">
        <v>1.1499999999999999</v>
      </c>
      <c r="T31">
        <v>1</v>
      </c>
      <c r="U31">
        <f t="shared" si="22"/>
        <v>33337.429685083509</v>
      </c>
      <c r="V31" s="7"/>
    </row>
    <row r="32" spans="1:22" x14ac:dyDescent="0.3">
      <c r="A32" s="6"/>
      <c r="F32" s="6" t="s">
        <v>37</v>
      </c>
      <c r="G32">
        <f t="shared" si="23"/>
        <v>2793</v>
      </c>
      <c r="H32">
        <v>0.72950000000000004</v>
      </c>
      <c r="I32">
        <v>1.28</v>
      </c>
      <c r="J32">
        <f t="shared" si="24"/>
        <v>1.2549999999999999</v>
      </c>
      <c r="K32">
        <f t="shared" si="19"/>
        <v>3273.0295584</v>
      </c>
      <c r="L32">
        <v>20</v>
      </c>
      <c r="M32">
        <v>1.3</v>
      </c>
      <c r="N32">
        <f t="shared" si="20"/>
        <v>2.3594059405940593</v>
      </c>
      <c r="O32">
        <v>0</v>
      </c>
      <c r="P32">
        <v>0.93</v>
      </c>
      <c r="Q32">
        <v>2.2999999999999998</v>
      </c>
      <c r="R32">
        <f t="shared" si="21"/>
        <v>3.1389999999999998</v>
      </c>
      <c r="S32">
        <v>1.1499999999999999</v>
      </c>
      <c r="T32">
        <v>1</v>
      </c>
      <c r="U32">
        <f t="shared" si="22"/>
        <v>27876.725074814789</v>
      </c>
      <c r="V32" s="7"/>
    </row>
    <row r="33" spans="1:22" x14ac:dyDescent="0.3">
      <c r="A33" s="6"/>
      <c r="F33" s="6" t="s">
        <v>38</v>
      </c>
      <c r="G33">
        <f t="shared" si="23"/>
        <v>2793</v>
      </c>
      <c r="H33">
        <v>0.87239999999999995</v>
      </c>
      <c r="I33">
        <v>1.28</v>
      </c>
      <c r="J33">
        <f t="shared" si="24"/>
        <v>1.2549999999999999</v>
      </c>
      <c r="K33">
        <f t="shared" si="19"/>
        <v>3914.175444479999</v>
      </c>
      <c r="L33">
        <v>20</v>
      </c>
      <c r="M33">
        <v>1.3</v>
      </c>
      <c r="N33">
        <f t="shared" si="20"/>
        <v>2.3594059405940593</v>
      </c>
      <c r="O33">
        <v>0</v>
      </c>
      <c r="P33">
        <v>0.93</v>
      </c>
      <c r="Q33">
        <v>2.2999999999999998</v>
      </c>
      <c r="R33">
        <f t="shared" si="21"/>
        <v>3.1389999999999998</v>
      </c>
      <c r="S33">
        <v>1.1499999999999999</v>
      </c>
      <c r="T33">
        <v>1</v>
      </c>
      <c r="U33">
        <f t="shared" si="22"/>
        <v>33337.429685083509</v>
      </c>
      <c r="V33" s="7"/>
    </row>
    <row r="34" spans="1:22" x14ac:dyDescent="0.3">
      <c r="A34" s="6"/>
      <c r="F34" s="6" t="s">
        <v>39</v>
      </c>
      <c r="G34">
        <f t="shared" si="23"/>
        <v>2793</v>
      </c>
      <c r="H34">
        <v>0.72950000000000004</v>
      </c>
      <c r="I34">
        <v>1.28</v>
      </c>
      <c r="J34">
        <f t="shared" si="24"/>
        <v>1.2549999999999999</v>
      </c>
      <c r="K34">
        <f t="shared" si="19"/>
        <v>3273.0295584</v>
      </c>
      <c r="L34">
        <v>20</v>
      </c>
      <c r="M34">
        <v>1.3</v>
      </c>
      <c r="N34">
        <f t="shared" si="20"/>
        <v>2.3594059405940593</v>
      </c>
      <c r="O34">
        <v>0</v>
      </c>
      <c r="P34">
        <v>0.93</v>
      </c>
      <c r="Q34">
        <v>2.2999999999999998</v>
      </c>
      <c r="R34">
        <f t="shared" si="21"/>
        <v>3.1389999999999998</v>
      </c>
      <c r="S34">
        <v>0.9</v>
      </c>
      <c r="T34">
        <v>1</v>
      </c>
      <c r="U34">
        <f t="shared" si="22"/>
        <v>21816.567449855054</v>
      </c>
      <c r="V34" s="7"/>
    </row>
    <row r="35" spans="1:22" x14ac:dyDescent="0.3">
      <c r="A35" s="6"/>
      <c r="F35" s="6" t="s">
        <v>40</v>
      </c>
      <c r="G35">
        <f t="shared" si="23"/>
        <v>2793</v>
      </c>
      <c r="H35">
        <v>0.87239999999999995</v>
      </c>
      <c r="I35">
        <v>1.28</v>
      </c>
      <c r="J35">
        <f t="shared" si="24"/>
        <v>1.2549999999999999</v>
      </c>
      <c r="K35">
        <f t="shared" si="19"/>
        <v>3914.175444479999</v>
      </c>
      <c r="L35">
        <v>20</v>
      </c>
      <c r="M35">
        <v>1.3</v>
      </c>
      <c r="N35">
        <f t="shared" si="20"/>
        <v>2.3594059405940593</v>
      </c>
      <c r="O35">
        <v>0</v>
      </c>
      <c r="P35">
        <v>0.93</v>
      </c>
      <c r="Q35">
        <v>2.2999999999999998</v>
      </c>
      <c r="R35">
        <f t="shared" si="21"/>
        <v>3.1389999999999998</v>
      </c>
      <c r="S35">
        <v>0.9</v>
      </c>
      <c r="T35">
        <v>1</v>
      </c>
      <c r="U35">
        <f t="shared" si="22"/>
        <v>26090.162362239269</v>
      </c>
      <c r="V35" s="7"/>
    </row>
    <row r="36" spans="1:22" x14ac:dyDescent="0.3">
      <c r="A36" s="6"/>
      <c r="F36" s="6" t="s">
        <v>41</v>
      </c>
      <c r="G36">
        <v>2604</v>
      </c>
      <c r="H36">
        <v>0.72950000000000004</v>
      </c>
      <c r="I36">
        <v>1.28</v>
      </c>
      <c r="J36">
        <v>1.24</v>
      </c>
      <c r="K36">
        <f t="shared" si="19"/>
        <v>3015.0736896000003</v>
      </c>
      <c r="L36">
        <v>20</v>
      </c>
      <c r="M36">
        <v>0.8</v>
      </c>
      <c r="N36">
        <f t="shared" si="20"/>
        <v>1.8594059405940595</v>
      </c>
      <c r="O36">
        <v>0</v>
      </c>
      <c r="P36">
        <v>0.93</v>
      </c>
      <c r="Q36">
        <v>2.2999999999999998</v>
      </c>
      <c r="R36">
        <f t="shared" si="21"/>
        <v>3.1389999999999998</v>
      </c>
      <c r="S36">
        <v>0.9</v>
      </c>
      <c r="T36">
        <v>1</v>
      </c>
      <c r="U36">
        <f t="shared" si="22"/>
        <v>15838.205376196307</v>
      </c>
      <c r="V36" s="7"/>
    </row>
    <row r="37" spans="1:22" x14ac:dyDescent="0.3">
      <c r="A37" s="6"/>
      <c r="F37" s="6"/>
      <c r="V37" s="7"/>
    </row>
    <row r="38" spans="1:22" x14ac:dyDescent="0.3">
      <c r="A38" s="6"/>
      <c r="F38" s="6"/>
      <c r="G38" t="s">
        <v>1</v>
      </c>
      <c r="H38" t="s">
        <v>5</v>
      </c>
      <c r="I38" t="s">
        <v>7</v>
      </c>
      <c r="J38" t="s">
        <v>7</v>
      </c>
      <c r="K38" t="s">
        <v>8</v>
      </c>
      <c r="L38" t="s">
        <v>22</v>
      </c>
      <c r="M38" t="s">
        <v>0</v>
      </c>
      <c r="N38" t="s">
        <v>11</v>
      </c>
      <c r="O38" t="s">
        <v>12</v>
      </c>
      <c r="P38" t="s">
        <v>13</v>
      </c>
      <c r="Q38" t="s">
        <v>15</v>
      </c>
      <c r="R38" t="s">
        <v>23</v>
      </c>
      <c r="S38" t="s">
        <v>24</v>
      </c>
      <c r="T38" t="s">
        <v>16</v>
      </c>
      <c r="V38" s="7"/>
    </row>
    <row r="39" spans="1:22" x14ac:dyDescent="0.3">
      <c r="A39" s="6"/>
      <c r="F39" s="6"/>
      <c r="G39">
        <f>G27</f>
        <v>2604</v>
      </c>
      <c r="H39">
        <v>1.9454</v>
      </c>
      <c r="I39">
        <v>1</v>
      </c>
      <c r="J39">
        <v>1</v>
      </c>
      <c r="K39">
        <f>G39*H39*I39*J39</f>
        <v>5065.8216000000002</v>
      </c>
      <c r="L39">
        <v>1</v>
      </c>
      <c r="M39">
        <v>0.93</v>
      </c>
      <c r="N39">
        <v>2.2999999999999998</v>
      </c>
      <c r="O39">
        <f>1+M39*N39</f>
        <v>3.1389999999999998</v>
      </c>
      <c r="P39">
        <v>0.9</v>
      </c>
      <c r="Q39">
        <f>K39*L39*O39*P39</f>
        <v>14311.45260216</v>
      </c>
      <c r="R39">
        <v>1</v>
      </c>
      <c r="S39">
        <f>Q39*R39</f>
        <v>14311.45260216</v>
      </c>
      <c r="T39">
        <f>SUM(S39:S40)</f>
        <v>136818.63331352998</v>
      </c>
      <c r="V39" s="7"/>
    </row>
    <row r="40" spans="1:22" ht="14.5" thickBot="1" x14ac:dyDescent="0.35">
      <c r="A40" s="6"/>
      <c r="F40" s="8"/>
      <c r="G40" s="9">
        <f>G31</f>
        <v>2793</v>
      </c>
      <c r="H40" s="9">
        <v>1.7251000000000001</v>
      </c>
      <c r="I40" s="9">
        <v>1</v>
      </c>
      <c r="J40" s="9">
        <v>1</v>
      </c>
      <c r="K40" s="9">
        <f>G40*H40*I40*J40</f>
        <v>4818.2043000000003</v>
      </c>
      <c r="L40" s="9">
        <v>1</v>
      </c>
      <c r="M40" s="9">
        <v>0.93</v>
      </c>
      <c r="N40" s="9">
        <v>2.2999999999999998</v>
      </c>
      <c r="O40" s="9">
        <f>1+M40*N40</f>
        <v>3.1389999999999998</v>
      </c>
      <c r="P40" s="9">
        <v>0.9</v>
      </c>
      <c r="Q40" s="9">
        <f>K40*L40*O40*P40</f>
        <v>13611.90896793</v>
      </c>
      <c r="R40" s="9">
        <v>9</v>
      </c>
      <c r="S40" s="9">
        <f>Q40*R40</f>
        <v>122507.18071136999</v>
      </c>
      <c r="T40" s="9"/>
      <c r="U40" s="9"/>
      <c r="V40" s="10"/>
    </row>
    <row r="41" spans="1:22" x14ac:dyDescent="0.3">
      <c r="A41" s="6"/>
      <c r="V41" s="7"/>
    </row>
    <row r="42" spans="1:22" ht="14.5" thickBot="1" x14ac:dyDescent="0.35">
      <c r="A42" s="6"/>
      <c r="F42" s="22" t="s">
        <v>53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7"/>
    </row>
    <row r="43" spans="1:22" x14ac:dyDescent="0.3">
      <c r="A43" s="6"/>
      <c r="F43" s="3"/>
      <c r="G43" s="4" t="s">
        <v>42</v>
      </c>
      <c r="H43" s="4" t="s">
        <v>43</v>
      </c>
      <c r="I43" s="4" t="s">
        <v>6</v>
      </c>
      <c r="J43" s="4" t="s">
        <v>2</v>
      </c>
      <c r="K43" s="4" t="s">
        <v>18</v>
      </c>
      <c r="L43" s="4" t="s">
        <v>9</v>
      </c>
      <c r="M43" s="4" t="s">
        <v>0</v>
      </c>
      <c r="N43" s="4" t="s">
        <v>11</v>
      </c>
      <c r="O43" s="4" t="s">
        <v>12</v>
      </c>
      <c r="P43" s="4" t="s">
        <v>13</v>
      </c>
      <c r="Q43" s="4" t="s">
        <v>14</v>
      </c>
      <c r="R43" s="4" t="s">
        <v>48</v>
      </c>
      <c r="S43" s="4" t="s">
        <v>49</v>
      </c>
      <c r="T43" s="4" t="s">
        <v>51</v>
      </c>
      <c r="U43" s="5" t="s">
        <v>16</v>
      </c>
      <c r="V43" s="7"/>
    </row>
    <row r="44" spans="1:22" x14ac:dyDescent="0.3">
      <c r="A44" s="6"/>
      <c r="F44" s="6" t="s">
        <v>44</v>
      </c>
      <c r="G44">
        <v>1446.85</v>
      </c>
      <c r="H44">
        <v>2</v>
      </c>
      <c r="I44">
        <v>1.28</v>
      </c>
      <c r="J44">
        <v>200</v>
      </c>
      <c r="K44">
        <v>2.38</v>
      </c>
      <c r="L44">
        <f>1+6*J44/(J44+2000)+K44</f>
        <v>3.9254545454545453</v>
      </c>
      <c r="M44">
        <v>0.85</v>
      </c>
      <c r="N44">
        <v>2.2200000000000002</v>
      </c>
      <c r="O44">
        <f>1+M44*N44</f>
        <v>2.887</v>
      </c>
      <c r="P44">
        <v>1.1499999999999999</v>
      </c>
      <c r="Q44">
        <v>1</v>
      </c>
      <c r="R44">
        <v>0.6</v>
      </c>
      <c r="S44">
        <f>G44*H44*I44*L44*O44*P44*Q44*R44</f>
        <v>28963.383944259487</v>
      </c>
      <c r="T44">
        <v>2</v>
      </c>
      <c r="U44" s="7">
        <f>T46*T44</f>
        <v>73393.794043504793</v>
      </c>
      <c r="V44" s="7"/>
    </row>
    <row r="45" spans="1:22" x14ac:dyDescent="0.3">
      <c r="A45" s="6"/>
      <c r="F45" s="6" t="s">
        <v>45</v>
      </c>
      <c r="G45">
        <v>1446.85</v>
      </c>
      <c r="H45">
        <v>2</v>
      </c>
      <c r="I45">
        <v>1.28</v>
      </c>
      <c r="J45">
        <v>0</v>
      </c>
      <c r="K45">
        <v>1.9</v>
      </c>
      <c r="L45">
        <f t="shared" ref="L45:L47" si="25">1+6*J45/(J45+2000)+K45</f>
        <v>2.9</v>
      </c>
      <c r="M45">
        <v>0.5</v>
      </c>
      <c r="N45">
        <v>1.5</v>
      </c>
      <c r="O45">
        <f t="shared" ref="O45:O47" si="26">1+M45*N45</f>
        <v>1.75</v>
      </c>
      <c r="P45">
        <v>0.9</v>
      </c>
      <c r="Q45">
        <v>1</v>
      </c>
      <c r="R45">
        <v>0.3</v>
      </c>
      <c r="S45">
        <f t="shared" ref="S45:S47" si="27">G45*H45*I45*L45*O45*P45*Q45*R45</f>
        <v>5075.3183039999994</v>
      </c>
      <c r="T45" t="s">
        <v>15</v>
      </c>
      <c r="U45" s="7"/>
      <c r="V45" s="7"/>
    </row>
    <row r="46" spans="1:22" x14ac:dyDescent="0.3">
      <c r="A46" s="6"/>
      <c r="F46" s="6" t="s">
        <v>46</v>
      </c>
      <c r="G46">
        <v>1446.85</v>
      </c>
      <c r="H46">
        <v>2</v>
      </c>
      <c r="I46">
        <v>1.28</v>
      </c>
      <c r="J46">
        <v>20</v>
      </c>
      <c r="K46">
        <v>1.3</v>
      </c>
      <c r="L46">
        <f t="shared" si="25"/>
        <v>2.3594059405940593</v>
      </c>
      <c r="M46">
        <v>0.93</v>
      </c>
      <c r="N46">
        <v>2.2999999999999998</v>
      </c>
      <c r="O46">
        <f t="shared" si="26"/>
        <v>3.1389999999999998</v>
      </c>
      <c r="P46">
        <v>1.1499999999999999</v>
      </c>
      <c r="Q46">
        <v>1</v>
      </c>
      <c r="R46">
        <v>0.05</v>
      </c>
      <c r="S46">
        <f t="shared" si="27"/>
        <v>1577.3399494929104</v>
      </c>
      <c r="T46">
        <f>SUM(S44:S47)</f>
        <v>36696.897021752397</v>
      </c>
      <c r="U46" s="7"/>
      <c r="V46" s="7"/>
    </row>
    <row r="47" spans="1:22" x14ac:dyDescent="0.3">
      <c r="A47" s="6"/>
      <c r="F47" s="6" t="s">
        <v>47</v>
      </c>
      <c r="G47">
        <v>1446.85</v>
      </c>
      <c r="H47">
        <v>2</v>
      </c>
      <c r="I47">
        <v>1.28</v>
      </c>
      <c r="J47">
        <v>0</v>
      </c>
      <c r="K47">
        <v>1.9</v>
      </c>
      <c r="L47">
        <f t="shared" si="25"/>
        <v>2.9</v>
      </c>
      <c r="M47">
        <v>0.5</v>
      </c>
      <c r="N47">
        <v>1.5</v>
      </c>
      <c r="O47">
        <f t="shared" si="26"/>
        <v>1.75</v>
      </c>
      <c r="P47">
        <v>1.1499999999999999</v>
      </c>
      <c r="Q47">
        <v>1</v>
      </c>
      <c r="R47">
        <v>0.05</v>
      </c>
      <c r="S47">
        <f t="shared" si="27"/>
        <v>1080.854824</v>
      </c>
      <c r="U47" s="7"/>
      <c r="V47" s="7"/>
    </row>
    <row r="48" spans="1:22" x14ac:dyDescent="0.3">
      <c r="A48" s="6"/>
      <c r="F48" s="6"/>
      <c r="U48" s="7"/>
      <c r="V48" s="7"/>
    </row>
    <row r="49" spans="1:22" x14ac:dyDescent="0.3">
      <c r="A49" s="6"/>
      <c r="F49" s="6"/>
      <c r="G49" t="s">
        <v>42</v>
      </c>
      <c r="H49" t="s">
        <v>43</v>
      </c>
      <c r="I49" t="s">
        <v>6</v>
      </c>
      <c r="J49" t="s">
        <v>2</v>
      </c>
      <c r="K49" t="s">
        <v>18</v>
      </c>
      <c r="L49" t="s">
        <v>9</v>
      </c>
      <c r="M49" t="s">
        <v>0</v>
      </c>
      <c r="N49" t="s">
        <v>11</v>
      </c>
      <c r="O49" t="s">
        <v>12</v>
      </c>
      <c r="P49" t="s">
        <v>13</v>
      </c>
      <c r="Q49" t="s">
        <v>14</v>
      </c>
      <c r="R49" t="s">
        <v>48</v>
      </c>
      <c r="S49" t="s">
        <v>49</v>
      </c>
      <c r="T49" t="s">
        <v>51</v>
      </c>
      <c r="U49" s="7" t="s">
        <v>16</v>
      </c>
      <c r="V49" s="7"/>
    </row>
    <row r="50" spans="1:22" x14ac:dyDescent="0.3">
      <c r="A50" s="6"/>
      <c r="F50" s="6" t="s">
        <v>44</v>
      </c>
      <c r="G50">
        <v>1446.85</v>
      </c>
      <c r="H50">
        <v>2</v>
      </c>
      <c r="I50">
        <v>1.28</v>
      </c>
      <c r="J50">
        <v>200</v>
      </c>
      <c r="K50">
        <v>2.38</v>
      </c>
      <c r="L50">
        <f>1+6*J50/(J50+2000)+K50</f>
        <v>3.9254545454545453</v>
      </c>
      <c r="M50">
        <v>0.85</v>
      </c>
      <c r="N50">
        <v>2.2200000000000002</v>
      </c>
      <c r="O50">
        <f>1+M50*N50</f>
        <v>2.887</v>
      </c>
      <c r="P50">
        <v>0.9</v>
      </c>
      <c r="Q50">
        <v>1</v>
      </c>
      <c r="R50">
        <v>0.6</v>
      </c>
      <c r="S50">
        <f>G50*H50*I50*L50*O50*P50*Q50*R50</f>
        <v>22666.996130290037</v>
      </c>
      <c r="T50">
        <v>2</v>
      </c>
      <c r="U50" s="7">
        <f>T52*T50</f>
        <v>59645.281557525501</v>
      </c>
      <c r="V50" s="7"/>
    </row>
    <row r="51" spans="1:22" x14ac:dyDescent="0.3">
      <c r="A51" s="6"/>
      <c r="F51" s="6" t="s">
        <v>45</v>
      </c>
      <c r="G51">
        <v>1446.85</v>
      </c>
      <c r="H51">
        <v>2</v>
      </c>
      <c r="I51">
        <v>1.28</v>
      </c>
      <c r="J51">
        <v>0</v>
      </c>
      <c r="K51">
        <v>1.9</v>
      </c>
      <c r="L51">
        <f t="shared" ref="L51:L53" si="28">1+6*J51/(J51+2000)+K51</f>
        <v>2.9</v>
      </c>
      <c r="M51">
        <v>0.5</v>
      </c>
      <c r="N51">
        <v>1.5</v>
      </c>
      <c r="O51">
        <f t="shared" ref="O51:O53" si="29">1+M51*N51</f>
        <v>1.75</v>
      </c>
      <c r="P51">
        <v>0.9</v>
      </c>
      <c r="Q51">
        <v>1</v>
      </c>
      <c r="R51">
        <v>0.3</v>
      </c>
      <c r="S51">
        <f t="shared" ref="S51:S53" si="30">G51*H51*I51*L51*O51*P51*Q51*R51</f>
        <v>5075.3183039999994</v>
      </c>
      <c r="T51" t="s">
        <v>15</v>
      </c>
      <c r="U51" s="7"/>
      <c r="V51" s="7"/>
    </row>
    <row r="52" spans="1:22" x14ac:dyDescent="0.3">
      <c r="A52" s="6"/>
      <c r="F52" s="6" t="s">
        <v>46</v>
      </c>
      <c r="G52">
        <v>1446.85</v>
      </c>
      <c r="H52">
        <v>2</v>
      </c>
      <c r="I52">
        <v>1.28</v>
      </c>
      <c r="J52">
        <v>20</v>
      </c>
      <c r="K52">
        <v>1.3</v>
      </c>
      <c r="L52">
        <f t="shared" si="28"/>
        <v>2.3594059405940593</v>
      </c>
      <c r="M52">
        <v>0.93</v>
      </c>
      <c r="N52">
        <v>2.2999999999999998</v>
      </c>
      <c r="O52">
        <f t="shared" si="29"/>
        <v>3.1389999999999998</v>
      </c>
      <c r="P52">
        <v>0.9</v>
      </c>
      <c r="Q52">
        <v>1</v>
      </c>
      <c r="R52">
        <v>0.05</v>
      </c>
      <c r="S52">
        <f t="shared" si="30"/>
        <v>1234.4399604727125</v>
      </c>
      <c r="T52">
        <f>SUM(S50:S53)</f>
        <v>29822.64077876275</v>
      </c>
      <c r="U52" s="7"/>
      <c r="V52" s="7"/>
    </row>
    <row r="53" spans="1:22" ht="14.5" thickBot="1" x14ac:dyDescent="0.35">
      <c r="A53" s="6"/>
      <c r="F53" s="8" t="s">
        <v>47</v>
      </c>
      <c r="G53" s="9">
        <v>1446.85</v>
      </c>
      <c r="H53" s="9">
        <v>2</v>
      </c>
      <c r="I53" s="9">
        <v>1.28</v>
      </c>
      <c r="J53" s="9">
        <v>0</v>
      </c>
      <c r="K53" s="9">
        <v>1.9</v>
      </c>
      <c r="L53" s="9">
        <f t="shared" si="28"/>
        <v>2.9</v>
      </c>
      <c r="M53">
        <v>0.5</v>
      </c>
      <c r="N53" s="9">
        <v>1.5</v>
      </c>
      <c r="O53" s="9">
        <f t="shared" si="29"/>
        <v>1.75</v>
      </c>
      <c r="P53" s="9">
        <v>0.9</v>
      </c>
      <c r="Q53" s="9">
        <v>1</v>
      </c>
      <c r="R53" s="9">
        <v>0.05</v>
      </c>
      <c r="S53" s="9">
        <f t="shared" si="30"/>
        <v>845.88638400000002</v>
      </c>
      <c r="T53" s="9"/>
      <c r="U53" s="10"/>
      <c r="V53" s="7"/>
    </row>
    <row r="54" spans="1:22" ht="14.5" thickBot="1" x14ac:dyDescent="0.35">
      <c r="A54" s="6"/>
      <c r="F54" s="23" t="s">
        <v>54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7"/>
    </row>
    <row r="55" spans="1:22" x14ac:dyDescent="0.3">
      <c r="A55" s="6"/>
      <c r="F55" s="3"/>
      <c r="G55" s="4" t="s">
        <v>42</v>
      </c>
      <c r="H55" s="4" t="s">
        <v>52</v>
      </c>
      <c r="I55" s="4" t="s">
        <v>6</v>
      </c>
      <c r="J55" s="4" t="s">
        <v>2</v>
      </c>
      <c r="K55" s="4" t="s">
        <v>18</v>
      </c>
      <c r="L55" s="4" t="s">
        <v>9</v>
      </c>
      <c r="M55" s="4" t="s">
        <v>0</v>
      </c>
      <c r="N55" s="4" t="s">
        <v>11</v>
      </c>
      <c r="O55" s="4" t="s">
        <v>12</v>
      </c>
      <c r="P55" s="4" t="s">
        <v>13</v>
      </c>
      <c r="Q55" s="4" t="s">
        <v>14</v>
      </c>
      <c r="R55" s="4" t="s">
        <v>48</v>
      </c>
      <c r="S55" s="4" t="s">
        <v>49</v>
      </c>
      <c r="T55" s="4" t="s">
        <v>51</v>
      </c>
      <c r="U55" s="5" t="s">
        <v>16</v>
      </c>
      <c r="V55" s="7"/>
    </row>
    <row r="56" spans="1:22" x14ac:dyDescent="0.3">
      <c r="A56" s="6"/>
      <c r="F56" s="6" t="s">
        <v>44</v>
      </c>
      <c r="G56">
        <v>1446.85</v>
      </c>
      <c r="H56">
        <v>0.75</v>
      </c>
      <c r="I56">
        <v>1.28</v>
      </c>
      <c r="J56">
        <v>0</v>
      </c>
      <c r="K56">
        <v>1.9</v>
      </c>
      <c r="L56">
        <f t="shared" ref="L56" si="31">1+6*J56/(J56+2000)+K56</f>
        <v>2.9</v>
      </c>
      <c r="M56">
        <v>0.5</v>
      </c>
      <c r="N56">
        <v>1.5</v>
      </c>
      <c r="O56">
        <f t="shared" ref="O56" si="32">1+M56*N56</f>
        <v>1.75</v>
      </c>
      <c r="P56">
        <v>0.9</v>
      </c>
      <c r="Q56">
        <v>1</v>
      </c>
      <c r="R56">
        <v>0.6</v>
      </c>
      <c r="S56">
        <f>G56*H56*I56*L56*O56*P56*Q56*R56</f>
        <v>3806.4887279999994</v>
      </c>
      <c r="T56">
        <v>4</v>
      </c>
      <c r="U56" s="7">
        <f>T58*T56</f>
        <v>40935.785030433974</v>
      </c>
      <c r="V56" s="7"/>
    </row>
    <row r="57" spans="1:22" x14ac:dyDescent="0.3">
      <c r="A57" s="6"/>
      <c r="F57" s="6" t="s">
        <v>45</v>
      </c>
      <c r="G57">
        <v>1446.85</v>
      </c>
      <c r="H57">
        <v>0.75</v>
      </c>
      <c r="I57">
        <v>1.28</v>
      </c>
      <c r="J57">
        <v>200</v>
      </c>
      <c r="K57">
        <v>2.38</v>
      </c>
      <c r="L57">
        <f>1+6*J57/(J57+2000)+K57</f>
        <v>3.9254545454545453</v>
      </c>
      <c r="M57">
        <v>0.85</v>
      </c>
      <c r="N57">
        <v>2.2200000000000002</v>
      </c>
      <c r="O57">
        <f>1+M57*N57</f>
        <v>2.887</v>
      </c>
      <c r="P57">
        <v>1.1499999999999999</v>
      </c>
      <c r="Q57">
        <v>1</v>
      </c>
      <c r="R57">
        <v>0.3</v>
      </c>
      <c r="S57">
        <f t="shared" ref="S57:S59" si="33">G57*H57*I57*L57*O57*P57*Q57*R57</f>
        <v>5430.6344895486536</v>
      </c>
      <c r="T57" t="s">
        <v>15</v>
      </c>
      <c r="U57" s="7"/>
      <c r="V57" s="7"/>
    </row>
    <row r="58" spans="1:22" x14ac:dyDescent="0.3">
      <c r="A58" s="6"/>
      <c r="F58" s="6" t="s">
        <v>46</v>
      </c>
      <c r="G58">
        <v>1446.85</v>
      </c>
      <c r="H58">
        <v>0.75</v>
      </c>
      <c r="I58">
        <v>1.28</v>
      </c>
      <c r="J58">
        <v>20</v>
      </c>
      <c r="K58">
        <v>1.3</v>
      </c>
      <c r="L58">
        <f t="shared" ref="L58:L59" si="34">1+6*J58/(J58+2000)+K58</f>
        <v>2.3594059405940593</v>
      </c>
      <c r="M58">
        <v>0.93</v>
      </c>
      <c r="N58">
        <v>2.2999999999999998</v>
      </c>
      <c r="O58">
        <f t="shared" ref="O58:O59" si="35">1+M58*N58</f>
        <v>3.1389999999999998</v>
      </c>
      <c r="P58">
        <v>1.1499999999999999</v>
      </c>
      <c r="Q58">
        <v>1</v>
      </c>
      <c r="R58">
        <v>0.05</v>
      </c>
      <c r="S58">
        <f t="shared" si="33"/>
        <v>591.50248105984144</v>
      </c>
      <c r="T58">
        <f>SUM(S56:S59)</f>
        <v>10233.946257608493</v>
      </c>
      <c r="U58" s="7"/>
      <c r="V58" s="7"/>
    </row>
    <row r="59" spans="1:22" x14ac:dyDescent="0.3">
      <c r="A59" s="6"/>
      <c r="F59" s="6" t="s">
        <v>47</v>
      </c>
      <c r="G59">
        <v>1446.85</v>
      </c>
      <c r="H59">
        <v>0.75</v>
      </c>
      <c r="I59">
        <v>1.28</v>
      </c>
      <c r="J59">
        <v>0</v>
      </c>
      <c r="K59">
        <v>1.9</v>
      </c>
      <c r="L59">
        <f t="shared" si="34"/>
        <v>2.9</v>
      </c>
      <c r="M59">
        <v>0.5</v>
      </c>
      <c r="N59">
        <v>1.5</v>
      </c>
      <c r="O59">
        <f t="shared" si="35"/>
        <v>1.75</v>
      </c>
      <c r="P59">
        <v>1.1499999999999999</v>
      </c>
      <c r="Q59">
        <v>1</v>
      </c>
      <c r="R59">
        <v>0.05</v>
      </c>
      <c r="S59">
        <f t="shared" si="33"/>
        <v>405.32055899999995</v>
      </c>
      <c r="U59" s="7"/>
      <c r="V59" s="7"/>
    </row>
    <row r="60" spans="1:22" x14ac:dyDescent="0.3">
      <c r="A60" s="6"/>
      <c r="F60" s="6"/>
      <c r="U60" s="7"/>
      <c r="V60" s="7"/>
    </row>
    <row r="61" spans="1:22" x14ac:dyDescent="0.3">
      <c r="A61" s="6"/>
      <c r="F61" s="6"/>
      <c r="G61" t="s">
        <v>42</v>
      </c>
      <c r="H61" t="s">
        <v>52</v>
      </c>
      <c r="I61" t="s">
        <v>6</v>
      </c>
      <c r="J61" t="s">
        <v>2</v>
      </c>
      <c r="K61" t="s">
        <v>18</v>
      </c>
      <c r="L61" t="s">
        <v>9</v>
      </c>
      <c r="M61" t="s">
        <v>0</v>
      </c>
      <c r="N61" t="s">
        <v>11</v>
      </c>
      <c r="O61" t="s">
        <v>12</v>
      </c>
      <c r="P61" t="s">
        <v>13</v>
      </c>
      <c r="Q61" t="s">
        <v>14</v>
      </c>
      <c r="R61" t="s">
        <v>48</v>
      </c>
      <c r="S61" t="s">
        <v>49</v>
      </c>
      <c r="T61" t="s">
        <v>51</v>
      </c>
      <c r="U61" s="7" t="s">
        <v>16</v>
      </c>
      <c r="V61" s="7"/>
    </row>
    <row r="62" spans="1:22" x14ac:dyDescent="0.3">
      <c r="A62" s="6"/>
      <c r="F62" s="6" t="s">
        <v>44</v>
      </c>
      <c r="G62">
        <v>1446.85</v>
      </c>
      <c r="H62">
        <v>0.75</v>
      </c>
      <c r="I62">
        <v>1.28</v>
      </c>
      <c r="J62">
        <v>0</v>
      </c>
      <c r="K62">
        <v>1.9</v>
      </c>
      <c r="L62">
        <f t="shared" ref="L62" si="36">1+6*J62/(J62+2000)+K62</f>
        <v>2.9</v>
      </c>
      <c r="M62">
        <v>0.5</v>
      </c>
      <c r="N62">
        <v>1.5</v>
      </c>
      <c r="O62">
        <f t="shared" ref="O62" si="37">1+M62*N62</f>
        <v>1.75</v>
      </c>
      <c r="P62">
        <v>0.9</v>
      </c>
      <c r="Q62">
        <v>1</v>
      </c>
      <c r="R62">
        <v>0.6</v>
      </c>
      <c r="S62">
        <f>G62*H62*I62*L62*O62*P62*Q62*R62</f>
        <v>3806.4887279999994</v>
      </c>
      <c r="T62">
        <v>2</v>
      </c>
      <c r="U62" s="7">
        <f>T64*T62</f>
        <v>18106.747084978444</v>
      </c>
      <c r="V62" s="7"/>
    </row>
    <row r="63" spans="1:22" x14ac:dyDescent="0.3">
      <c r="A63" s="6"/>
      <c r="F63" s="6" t="s">
        <v>45</v>
      </c>
      <c r="G63">
        <v>1446.85</v>
      </c>
      <c r="H63">
        <v>0.75</v>
      </c>
      <c r="I63">
        <v>1.28</v>
      </c>
      <c r="J63">
        <v>200</v>
      </c>
      <c r="K63">
        <v>2.38</v>
      </c>
      <c r="L63">
        <f>1+6*J63/(J63+2000)+K63</f>
        <v>3.9254545454545453</v>
      </c>
      <c r="M63">
        <v>0.85</v>
      </c>
      <c r="N63">
        <v>2.2200000000000002</v>
      </c>
      <c r="O63">
        <f>1+M63*N63</f>
        <v>2.887</v>
      </c>
      <c r="P63">
        <v>0.9</v>
      </c>
      <c r="Q63">
        <v>1</v>
      </c>
      <c r="R63">
        <v>0.3</v>
      </c>
      <c r="S63">
        <f t="shared" ref="S63:S65" si="38">G63*H63*I63*L63*O63*P63*Q63*R63</f>
        <v>4250.0617744293813</v>
      </c>
      <c r="T63" t="s">
        <v>15</v>
      </c>
      <c r="U63" s="7"/>
      <c r="V63" s="7"/>
    </row>
    <row r="64" spans="1:22" x14ac:dyDescent="0.3">
      <c r="A64" s="6"/>
      <c r="F64" s="6" t="s">
        <v>46</v>
      </c>
      <c r="G64">
        <v>1446.85</v>
      </c>
      <c r="H64">
        <v>0.75</v>
      </c>
      <c r="I64">
        <v>1.28</v>
      </c>
      <c r="J64">
        <v>20</v>
      </c>
      <c r="K64">
        <v>1.3</v>
      </c>
      <c r="L64">
        <f t="shared" ref="L64:L65" si="39">1+6*J64/(J64+2000)+K64</f>
        <v>2.3594059405940593</v>
      </c>
      <c r="M64">
        <v>0.93</v>
      </c>
      <c r="N64">
        <v>2.2999999999999998</v>
      </c>
      <c r="O64">
        <f t="shared" ref="O64:O65" si="40">1+M64*N64</f>
        <v>3.1389999999999998</v>
      </c>
      <c r="P64">
        <v>1.1499999999999999</v>
      </c>
      <c r="Q64">
        <v>1</v>
      </c>
      <c r="R64">
        <v>0.05</v>
      </c>
      <c r="S64">
        <f t="shared" si="38"/>
        <v>591.50248105984144</v>
      </c>
      <c r="T64">
        <f>SUM(S62:S65)</f>
        <v>9053.373542489222</v>
      </c>
      <c r="U64" s="7"/>
      <c r="V64" s="7"/>
    </row>
    <row r="65" spans="1:22" ht="14.5" thickBot="1" x14ac:dyDescent="0.35">
      <c r="A65" s="8"/>
      <c r="B65" s="9"/>
      <c r="C65" s="9"/>
      <c r="D65" s="9"/>
      <c r="E65" s="9"/>
      <c r="F65" s="8" t="s">
        <v>47</v>
      </c>
      <c r="G65" s="9">
        <v>1446.85</v>
      </c>
      <c r="H65" s="9">
        <v>0.75</v>
      </c>
      <c r="I65" s="9">
        <v>1.28</v>
      </c>
      <c r="J65" s="9">
        <v>0</v>
      </c>
      <c r="K65" s="9">
        <v>1.9</v>
      </c>
      <c r="L65" s="9">
        <f t="shared" si="39"/>
        <v>2.9</v>
      </c>
      <c r="M65" s="9">
        <v>0.5</v>
      </c>
      <c r="N65" s="9">
        <v>1.5</v>
      </c>
      <c r="O65" s="9">
        <f t="shared" si="40"/>
        <v>1.75</v>
      </c>
      <c r="P65" s="9">
        <v>1.1499999999999999</v>
      </c>
      <c r="Q65" s="9">
        <v>1</v>
      </c>
      <c r="R65" s="9">
        <v>0.05</v>
      </c>
      <c r="S65" s="9">
        <f t="shared" si="38"/>
        <v>405.32055899999995</v>
      </c>
      <c r="T65" s="9"/>
      <c r="U65" s="10"/>
      <c r="V65" s="10"/>
    </row>
    <row r="69" spans="1:22" ht="14.5" thickBot="1" x14ac:dyDescent="0.35"/>
    <row r="70" spans="1:22" x14ac:dyDescent="0.3">
      <c r="A70" s="15" t="s">
        <v>67</v>
      </c>
      <c r="B70" s="16"/>
      <c r="C70" s="16"/>
      <c r="D70" s="17"/>
      <c r="E70" s="4"/>
      <c r="F70" s="4" t="s">
        <v>4</v>
      </c>
      <c r="G70" s="4" t="s">
        <v>1</v>
      </c>
      <c r="H70" s="4" t="s">
        <v>5</v>
      </c>
      <c r="I70" s="4" t="s">
        <v>6</v>
      </c>
      <c r="J70" s="4" t="s">
        <v>7</v>
      </c>
      <c r="K70" s="4" t="s">
        <v>8</v>
      </c>
      <c r="L70" s="4" t="s">
        <v>2</v>
      </c>
      <c r="M70" s="4" t="s">
        <v>18</v>
      </c>
      <c r="N70" s="4" t="s">
        <v>9</v>
      </c>
      <c r="O70" s="4" t="s">
        <v>10</v>
      </c>
      <c r="P70" s="4" t="s">
        <v>0</v>
      </c>
      <c r="Q70" s="4" t="s">
        <v>11</v>
      </c>
      <c r="R70" s="4" t="s">
        <v>12</v>
      </c>
      <c r="S70" s="4" t="s">
        <v>13</v>
      </c>
      <c r="T70" s="4" t="s">
        <v>14</v>
      </c>
      <c r="U70" s="4" t="s">
        <v>15</v>
      </c>
      <c r="V70" s="5" t="s">
        <v>16</v>
      </c>
    </row>
    <row r="71" spans="1:22" x14ac:dyDescent="0.3">
      <c r="A71" s="18" t="s">
        <v>27</v>
      </c>
      <c r="B71" s="1" t="s">
        <v>25</v>
      </c>
      <c r="C71" s="1" t="s">
        <v>26</v>
      </c>
      <c r="D71" s="1" t="s">
        <v>28</v>
      </c>
      <c r="F71" t="s">
        <v>17</v>
      </c>
      <c r="G71">
        <f>3199+488+203</f>
        <v>3890</v>
      </c>
      <c r="H71">
        <v>2.4224999999999999</v>
      </c>
      <c r="I71">
        <v>1.28</v>
      </c>
      <c r="J71">
        <v>1</v>
      </c>
      <c r="K71">
        <f>G71*H71*I71*J71</f>
        <v>12062.111999999999</v>
      </c>
      <c r="L71">
        <v>200</v>
      </c>
      <c r="M71">
        <v>2.68</v>
      </c>
      <c r="N71">
        <f>1+6*L71/(L71+2000)+M71</f>
        <v>4.2254545454545456</v>
      </c>
      <c r="O71">
        <v>0</v>
      </c>
      <c r="P71">
        <v>0.85</v>
      </c>
      <c r="Q71">
        <v>2.62</v>
      </c>
      <c r="R71">
        <f>1+P71*Q71</f>
        <v>3.2269999999999999</v>
      </c>
      <c r="S71">
        <v>1.1499999999999999</v>
      </c>
      <c r="T71">
        <v>1</v>
      </c>
      <c r="U71">
        <f>(K71*N71+O71)*R71*S71*T71</f>
        <v>189144.44748033161</v>
      </c>
      <c r="V71" s="7">
        <f>SUM(U71:U85)</f>
        <v>3167594.1588173923</v>
      </c>
    </row>
    <row r="72" spans="1:22" x14ac:dyDescent="0.3">
      <c r="A72" s="18"/>
      <c r="B72" s="1">
        <f>B74+B76+B78</f>
        <v>4629910.5343902651</v>
      </c>
      <c r="C72" s="1">
        <f>B72/D72</f>
        <v>215344.67601815186</v>
      </c>
      <c r="D72" s="1">
        <v>21.5</v>
      </c>
      <c r="F72" t="s">
        <v>17</v>
      </c>
      <c r="G72">
        <f t="shared" ref="G72:G78" si="41">3199+488+203</f>
        <v>3890</v>
      </c>
      <c r="H72">
        <v>2.4224999999999999</v>
      </c>
      <c r="I72">
        <v>1.28</v>
      </c>
      <c r="J72">
        <v>1</v>
      </c>
      <c r="K72">
        <f t="shared" ref="K72:K78" si="42">G72*H72*I72*J72</f>
        <v>12062.111999999999</v>
      </c>
      <c r="L72">
        <v>200</v>
      </c>
      <c r="M72">
        <v>2.68</v>
      </c>
      <c r="N72">
        <f t="shared" ref="N72:N78" si="43">1+6*L72/(L72+2000)+M72</f>
        <v>4.2254545454545456</v>
      </c>
      <c r="O72">
        <v>0</v>
      </c>
      <c r="P72">
        <v>0.85</v>
      </c>
      <c r="Q72">
        <v>2.82</v>
      </c>
      <c r="R72">
        <f t="shared" ref="R72:R78" si="44">1+P72*Q72</f>
        <v>3.3969999999999998</v>
      </c>
      <c r="S72">
        <v>1.1499999999999999</v>
      </c>
      <c r="T72">
        <v>1</v>
      </c>
      <c r="U72">
        <f t="shared" ref="U72:U78" si="45">(K72*N72+O72)*R72*S72*T72</f>
        <v>199108.67309906613</v>
      </c>
      <c r="V72" s="7"/>
    </row>
    <row r="73" spans="1:22" x14ac:dyDescent="0.3">
      <c r="A73" s="18"/>
      <c r="B73" s="1" t="s">
        <v>29</v>
      </c>
      <c r="C73" s="1" t="s">
        <v>30</v>
      </c>
      <c r="D73" s="1"/>
      <c r="F73" t="s">
        <v>17</v>
      </c>
      <c r="G73">
        <f t="shared" si="41"/>
        <v>3890</v>
      </c>
      <c r="H73">
        <v>2.4224999999999999</v>
      </c>
      <c r="I73">
        <v>1.28</v>
      </c>
      <c r="J73">
        <v>1</v>
      </c>
      <c r="K73">
        <f t="shared" si="42"/>
        <v>12062.111999999999</v>
      </c>
      <c r="L73">
        <v>200</v>
      </c>
      <c r="M73">
        <v>2.68</v>
      </c>
      <c r="N73">
        <f t="shared" si="43"/>
        <v>4.2254545454545456</v>
      </c>
      <c r="O73">
        <v>0</v>
      </c>
      <c r="P73">
        <v>0.85</v>
      </c>
      <c r="Q73">
        <v>3.02</v>
      </c>
      <c r="R73">
        <f t="shared" si="44"/>
        <v>3.5669999999999997</v>
      </c>
      <c r="S73">
        <v>1.1499999999999999</v>
      </c>
      <c r="T73">
        <v>1</v>
      </c>
      <c r="U73">
        <f t="shared" si="45"/>
        <v>209072.89871780065</v>
      </c>
      <c r="V73" s="7"/>
    </row>
    <row r="74" spans="1:22" x14ac:dyDescent="0.3">
      <c r="A74" s="18"/>
      <c r="B74" s="1">
        <f>V71+T88</f>
        <v>3574339.3688028823</v>
      </c>
      <c r="C74" s="2">
        <f>B74/B72</f>
        <v>0.77201046159601527</v>
      </c>
      <c r="D74" s="1"/>
      <c r="F74" t="s">
        <v>17</v>
      </c>
      <c r="G74">
        <f t="shared" si="41"/>
        <v>3890</v>
      </c>
      <c r="H74">
        <v>2.4224999999999999</v>
      </c>
      <c r="I74">
        <v>1.28</v>
      </c>
      <c r="J74">
        <v>1</v>
      </c>
      <c r="K74">
        <f t="shared" si="42"/>
        <v>12062.111999999999</v>
      </c>
      <c r="L74">
        <v>200</v>
      </c>
      <c r="M74">
        <v>2.68</v>
      </c>
      <c r="N74">
        <f t="shared" si="43"/>
        <v>4.2254545454545456</v>
      </c>
      <c r="O74">
        <v>0</v>
      </c>
      <c r="P74">
        <v>0.85</v>
      </c>
      <c r="Q74">
        <v>3.22</v>
      </c>
      <c r="R74">
        <f t="shared" si="44"/>
        <v>3.7370000000000001</v>
      </c>
      <c r="S74">
        <v>1.1499999999999999</v>
      </c>
      <c r="T74">
        <v>1</v>
      </c>
      <c r="U74">
        <f t="shared" si="45"/>
        <v>219037.12433653526</v>
      </c>
      <c r="V74" s="7"/>
    </row>
    <row r="75" spans="1:22" x14ac:dyDescent="0.3">
      <c r="A75" s="18"/>
      <c r="B75" s="1" t="s">
        <v>31</v>
      </c>
      <c r="C75" s="2" t="s">
        <v>30</v>
      </c>
      <c r="D75" s="1"/>
      <c r="F75" t="s">
        <v>17</v>
      </c>
      <c r="G75">
        <f t="shared" si="41"/>
        <v>3890</v>
      </c>
      <c r="H75">
        <v>2.4224999999999999</v>
      </c>
      <c r="I75">
        <v>1.28</v>
      </c>
      <c r="J75">
        <v>1</v>
      </c>
      <c r="K75">
        <f t="shared" si="42"/>
        <v>12062.111999999999</v>
      </c>
      <c r="L75">
        <v>200</v>
      </c>
      <c r="M75">
        <v>2.68</v>
      </c>
      <c r="N75">
        <f t="shared" si="43"/>
        <v>4.2254545454545456</v>
      </c>
      <c r="O75">
        <v>0</v>
      </c>
      <c r="P75">
        <v>0.85</v>
      </c>
      <c r="Q75">
        <v>3.22</v>
      </c>
      <c r="R75">
        <f t="shared" si="44"/>
        <v>3.7370000000000001</v>
      </c>
      <c r="S75">
        <v>1.1499999999999999</v>
      </c>
      <c r="T75">
        <v>1</v>
      </c>
      <c r="U75">
        <f t="shared" si="45"/>
        <v>219037.12433653526</v>
      </c>
      <c r="V75" s="7"/>
    </row>
    <row r="76" spans="1:22" x14ac:dyDescent="0.3">
      <c r="A76" s="18"/>
      <c r="B76" s="1">
        <f>V96+T109</f>
        <v>848175.19046961179</v>
      </c>
      <c r="C76" s="2">
        <f>B76/B72</f>
        <v>0.18319472572299111</v>
      </c>
      <c r="D76" s="1"/>
      <c r="F76" t="s">
        <v>17</v>
      </c>
      <c r="G76">
        <f t="shared" si="41"/>
        <v>3890</v>
      </c>
      <c r="H76">
        <v>2.4224999999999999</v>
      </c>
      <c r="I76">
        <v>1.28</v>
      </c>
      <c r="J76">
        <v>1</v>
      </c>
      <c r="K76">
        <f t="shared" si="42"/>
        <v>12062.111999999999</v>
      </c>
      <c r="L76">
        <v>200</v>
      </c>
      <c r="M76">
        <v>2.68</v>
      </c>
      <c r="N76">
        <f t="shared" si="43"/>
        <v>4.2254545454545456</v>
      </c>
      <c r="O76">
        <v>0</v>
      </c>
      <c r="P76">
        <v>0.85</v>
      </c>
      <c r="Q76">
        <v>3.22</v>
      </c>
      <c r="R76">
        <f t="shared" si="44"/>
        <v>3.7370000000000001</v>
      </c>
      <c r="S76">
        <v>1.1499999999999999</v>
      </c>
      <c r="T76">
        <v>1</v>
      </c>
      <c r="U76">
        <f t="shared" si="45"/>
        <v>219037.12433653526</v>
      </c>
      <c r="V76" s="7"/>
    </row>
    <row r="77" spans="1:22" x14ac:dyDescent="0.3">
      <c r="A77" s="18"/>
      <c r="B77" s="1" t="s">
        <v>50</v>
      </c>
      <c r="C77" s="2" t="s">
        <v>30</v>
      </c>
      <c r="D77" s="1"/>
      <c r="F77" s="6" t="s">
        <v>20</v>
      </c>
      <c r="G77">
        <f t="shared" si="41"/>
        <v>3890</v>
      </c>
      <c r="H77">
        <v>5.9543999999999997</v>
      </c>
      <c r="I77">
        <v>1.28</v>
      </c>
      <c r="J77">
        <v>2</v>
      </c>
      <c r="K77">
        <f t="shared" si="42"/>
        <v>59296.29696</v>
      </c>
      <c r="L77">
        <v>200</v>
      </c>
      <c r="M77">
        <v>2.68</v>
      </c>
      <c r="N77">
        <f t="shared" si="43"/>
        <v>4.2254545454545456</v>
      </c>
      <c r="O77">
        <v>0</v>
      </c>
      <c r="P77">
        <v>0.85</v>
      </c>
      <c r="Q77">
        <v>2.2200000000000002</v>
      </c>
      <c r="R77">
        <f t="shared" si="44"/>
        <v>2.887</v>
      </c>
      <c r="S77">
        <v>1.1499999999999999</v>
      </c>
      <c r="T77">
        <v>1</v>
      </c>
      <c r="U77">
        <f t="shared" si="45"/>
        <v>831851.16865098092</v>
      </c>
      <c r="V77" s="7"/>
    </row>
    <row r="78" spans="1:22" x14ac:dyDescent="0.3">
      <c r="A78" s="18"/>
      <c r="B78" s="1">
        <f>U114+U120+U126+U132</f>
        <v>207395.97511777069</v>
      </c>
      <c r="C78" s="2">
        <f>B78/B72</f>
        <v>4.4794812680993557E-2</v>
      </c>
      <c r="D78" s="1"/>
      <c r="F78" s="6" t="s">
        <v>19</v>
      </c>
      <c r="G78">
        <f t="shared" si="41"/>
        <v>3890</v>
      </c>
      <c r="H78">
        <v>0.58320000000000005</v>
      </c>
      <c r="I78">
        <v>1.28</v>
      </c>
      <c r="J78">
        <v>4</v>
      </c>
      <c r="K78">
        <f t="shared" si="42"/>
        <v>11615.477760000002</v>
      </c>
      <c r="L78">
        <v>200</v>
      </c>
      <c r="M78">
        <v>2.68</v>
      </c>
      <c r="N78">
        <f t="shared" si="43"/>
        <v>4.2254545454545456</v>
      </c>
      <c r="O78">
        <v>0</v>
      </c>
      <c r="P78">
        <v>0.85</v>
      </c>
      <c r="Q78">
        <v>2.2200000000000002</v>
      </c>
      <c r="R78">
        <f t="shared" si="44"/>
        <v>2.887</v>
      </c>
      <c r="S78">
        <v>1.1499999999999999</v>
      </c>
      <c r="T78">
        <v>1</v>
      </c>
      <c r="U78">
        <f t="shared" si="45"/>
        <v>162950.28938507731</v>
      </c>
      <c r="V78" s="7"/>
    </row>
    <row r="79" spans="1:22" x14ac:dyDescent="0.3">
      <c r="A79" s="6"/>
      <c r="F79" t="s">
        <v>17</v>
      </c>
      <c r="G79">
        <f>3199+488+203</f>
        <v>3890</v>
      </c>
      <c r="H79">
        <v>2.4224999999999999</v>
      </c>
      <c r="I79">
        <v>1.28</v>
      </c>
      <c r="J79">
        <v>1</v>
      </c>
      <c r="K79">
        <f>G79*H79*I79*J79</f>
        <v>12062.111999999999</v>
      </c>
      <c r="L79">
        <v>200</v>
      </c>
      <c r="M79">
        <v>2.68</v>
      </c>
      <c r="N79">
        <f>1+6*L79/(L79+2000)+M79</f>
        <v>4.2254545454545456</v>
      </c>
      <c r="O79">
        <v>0</v>
      </c>
      <c r="P79">
        <v>0.85</v>
      </c>
      <c r="Q79">
        <v>2.62</v>
      </c>
      <c r="R79">
        <f>1+P79*Q79</f>
        <v>3.2269999999999999</v>
      </c>
      <c r="S79">
        <v>0.9</v>
      </c>
      <c r="T79">
        <v>1</v>
      </c>
      <c r="U79">
        <f>(K79*N79+O79)*R79*S79*T79</f>
        <v>148026.08933243345</v>
      </c>
      <c r="V79" s="7"/>
    </row>
    <row r="80" spans="1:22" x14ac:dyDescent="0.3">
      <c r="A80" s="6"/>
      <c r="F80" t="s">
        <v>17</v>
      </c>
      <c r="G80">
        <f>3199+203</f>
        <v>3402</v>
      </c>
      <c r="H80">
        <v>2.4224999999999999</v>
      </c>
      <c r="I80">
        <v>1.28</v>
      </c>
      <c r="J80">
        <v>1</v>
      </c>
      <c r="K80">
        <f t="shared" ref="K80:K85" si="46">G80*H80*I80*J80</f>
        <v>10548.9216</v>
      </c>
      <c r="L80">
        <v>200</v>
      </c>
      <c r="M80">
        <v>2.68</v>
      </c>
      <c r="N80">
        <f t="shared" ref="N80:N85" si="47">1+6*L80/(L80+2000)+M80</f>
        <v>4.2254545454545456</v>
      </c>
      <c r="O80">
        <v>0</v>
      </c>
      <c r="P80">
        <v>0.85</v>
      </c>
      <c r="Q80">
        <v>2.82</v>
      </c>
      <c r="R80">
        <f t="shared" ref="R80:R85" si="48">1+P80*Q80</f>
        <v>3.3969999999999998</v>
      </c>
      <c r="S80">
        <v>0.9</v>
      </c>
      <c r="T80">
        <v>1</v>
      </c>
      <c r="U80">
        <f t="shared" ref="U80:U85" si="49">(K80*N80+O80)*R80*S80*T80</f>
        <v>136276.05572699694</v>
      </c>
      <c r="V80" s="7"/>
    </row>
    <row r="81" spans="1:22" x14ac:dyDescent="0.3">
      <c r="A81" s="6"/>
      <c r="F81" t="s">
        <v>17</v>
      </c>
      <c r="G81">
        <f t="shared" ref="G81:G82" si="50">3199+203</f>
        <v>3402</v>
      </c>
      <c r="H81">
        <v>2.4224999999999999</v>
      </c>
      <c r="I81">
        <v>1.28</v>
      </c>
      <c r="J81">
        <v>1</v>
      </c>
      <c r="K81">
        <f t="shared" si="46"/>
        <v>10548.9216</v>
      </c>
      <c r="L81">
        <v>200</v>
      </c>
      <c r="M81">
        <v>2.68</v>
      </c>
      <c r="N81">
        <f t="shared" si="47"/>
        <v>4.2254545454545456</v>
      </c>
      <c r="O81">
        <v>0</v>
      </c>
      <c r="P81">
        <v>0.85</v>
      </c>
      <c r="Q81">
        <v>3.02</v>
      </c>
      <c r="R81">
        <f t="shared" si="48"/>
        <v>3.5669999999999997</v>
      </c>
      <c r="S81">
        <v>0.9</v>
      </c>
      <c r="T81">
        <v>1</v>
      </c>
      <c r="U81">
        <f t="shared" si="49"/>
        <v>143095.87600182457</v>
      </c>
      <c r="V81" s="7"/>
    </row>
    <row r="82" spans="1:22" x14ac:dyDescent="0.3">
      <c r="A82" s="6"/>
      <c r="F82" t="s">
        <v>17</v>
      </c>
      <c r="G82">
        <f t="shared" si="50"/>
        <v>3402</v>
      </c>
      <c r="H82">
        <v>2.4224999999999999</v>
      </c>
      <c r="I82">
        <v>1.28</v>
      </c>
      <c r="J82">
        <v>1</v>
      </c>
      <c r="K82">
        <f t="shared" si="46"/>
        <v>10548.9216</v>
      </c>
      <c r="L82">
        <v>200</v>
      </c>
      <c r="M82">
        <v>2.68</v>
      </c>
      <c r="N82">
        <f t="shared" si="47"/>
        <v>4.2254545454545456</v>
      </c>
      <c r="O82">
        <v>0</v>
      </c>
      <c r="P82">
        <v>0.85</v>
      </c>
      <c r="Q82">
        <v>3.22</v>
      </c>
      <c r="R82">
        <f t="shared" si="48"/>
        <v>3.7370000000000001</v>
      </c>
      <c r="S82">
        <v>0.9</v>
      </c>
      <c r="T82">
        <v>1</v>
      </c>
      <c r="U82">
        <f t="shared" si="49"/>
        <v>149915.69627665222</v>
      </c>
      <c r="V82" s="7"/>
    </row>
    <row r="83" spans="1:22" x14ac:dyDescent="0.3">
      <c r="A83" s="6"/>
      <c r="F83" t="s">
        <v>17</v>
      </c>
      <c r="G83">
        <f>3199</f>
        <v>3199</v>
      </c>
      <c r="H83">
        <v>2.4224999999999999</v>
      </c>
      <c r="I83">
        <v>1.28</v>
      </c>
      <c r="J83">
        <v>1</v>
      </c>
      <c r="K83">
        <f t="shared" si="46"/>
        <v>9919.4591999999993</v>
      </c>
      <c r="L83">
        <v>200</v>
      </c>
      <c r="M83">
        <v>2.1800000000000002</v>
      </c>
      <c r="N83">
        <f t="shared" si="47"/>
        <v>3.7254545454545456</v>
      </c>
      <c r="O83">
        <v>0</v>
      </c>
      <c r="P83">
        <v>0.85</v>
      </c>
      <c r="Q83">
        <v>3.22</v>
      </c>
      <c r="R83">
        <f t="shared" si="48"/>
        <v>3.7370000000000001</v>
      </c>
      <c r="S83">
        <v>0.9</v>
      </c>
      <c r="T83">
        <v>1</v>
      </c>
      <c r="U83">
        <f t="shared" si="49"/>
        <v>124289.05089811023</v>
      </c>
      <c r="V83" s="7"/>
    </row>
    <row r="84" spans="1:22" x14ac:dyDescent="0.3">
      <c r="A84" s="6"/>
      <c r="F84" t="s">
        <v>17</v>
      </c>
      <c r="G84">
        <f>3199</f>
        <v>3199</v>
      </c>
      <c r="H84">
        <v>2.4224999999999999</v>
      </c>
      <c r="I84">
        <v>1.28</v>
      </c>
      <c r="J84">
        <v>1</v>
      </c>
      <c r="K84">
        <f t="shared" si="46"/>
        <v>9919.4591999999993</v>
      </c>
      <c r="L84">
        <v>200</v>
      </c>
      <c r="M84">
        <v>2.1800000000000002</v>
      </c>
      <c r="N84">
        <f t="shared" si="47"/>
        <v>3.7254545454545456</v>
      </c>
      <c r="O84">
        <v>0</v>
      </c>
      <c r="P84">
        <v>0.85</v>
      </c>
      <c r="Q84">
        <v>3.22</v>
      </c>
      <c r="R84">
        <f t="shared" si="48"/>
        <v>3.7370000000000001</v>
      </c>
      <c r="S84">
        <v>0.9</v>
      </c>
      <c r="T84">
        <v>1</v>
      </c>
      <c r="U84">
        <f t="shared" si="49"/>
        <v>124289.05089811023</v>
      </c>
      <c r="V84" s="7"/>
    </row>
    <row r="85" spans="1:22" x14ac:dyDescent="0.3">
      <c r="A85" s="6"/>
      <c r="F85" s="6" t="s">
        <v>19</v>
      </c>
      <c r="G85">
        <f>3199</f>
        <v>3199</v>
      </c>
      <c r="H85">
        <v>0.58320000000000005</v>
      </c>
      <c r="I85">
        <v>1.28</v>
      </c>
      <c r="J85">
        <v>4</v>
      </c>
      <c r="K85">
        <f t="shared" si="46"/>
        <v>9552.1628160000018</v>
      </c>
      <c r="L85">
        <v>200</v>
      </c>
      <c r="M85">
        <v>2.1800000000000002</v>
      </c>
      <c r="N85">
        <f t="shared" si="47"/>
        <v>3.7254545454545456</v>
      </c>
      <c r="O85">
        <v>0</v>
      </c>
      <c r="P85">
        <v>0.85</v>
      </c>
      <c r="Q85">
        <v>2.2200000000000002</v>
      </c>
      <c r="R85">
        <f t="shared" si="48"/>
        <v>2.887</v>
      </c>
      <c r="S85">
        <v>0.9</v>
      </c>
      <c r="T85">
        <v>1</v>
      </c>
      <c r="U85">
        <f t="shared" si="49"/>
        <v>92463.489340402608</v>
      </c>
      <c r="V85" s="7"/>
    </row>
    <row r="86" spans="1:22" x14ac:dyDescent="0.3">
      <c r="A86" s="6"/>
      <c r="V86" s="7"/>
    </row>
    <row r="87" spans="1:22" x14ac:dyDescent="0.3">
      <c r="A87" s="6"/>
      <c r="G87" t="s">
        <v>1</v>
      </c>
      <c r="H87" t="s">
        <v>5</v>
      </c>
      <c r="I87" t="s">
        <v>7</v>
      </c>
      <c r="J87" t="s">
        <v>7</v>
      </c>
      <c r="K87" t="s">
        <v>8</v>
      </c>
      <c r="L87" t="s">
        <v>22</v>
      </c>
      <c r="M87" t="s">
        <v>0</v>
      </c>
      <c r="N87" t="s">
        <v>11</v>
      </c>
      <c r="O87" t="s">
        <v>12</v>
      </c>
      <c r="P87" t="s">
        <v>13</v>
      </c>
      <c r="Q87" t="s">
        <v>15</v>
      </c>
      <c r="R87" t="s">
        <v>23</v>
      </c>
      <c r="S87" t="s">
        <v>24</v>
      </c>
      <c r="T87" t="s">
        <v>16</v>
      </c>
      <c r="V87" s="7"/>
    </row>
    <row r="88" spans="1:22" x14ac:dyDescent="0.3">
      <c r="A88" s="6"/>
      <c r="G88">
        <f>3199+488+203</f>
        <v>3890</v>
      </c>
      <c r="H88">
        <v>0.85</v>
      </c>
      <c r="I88">
        <v>1</v>
      </c>
      <c r="J88">
        <v>1</v>
      </c>
      <c r="K88">
        <f>G88*H88*I88*J88</f>
        <v>3306.5</v>
      </c>
      <c r="L88">
        <v>1</v>
      </c>
      <c r="M88">
        <v>0.85</v>
      </c>
      <c r="N88">
        <v>2.2200000000000002</v>
      </c>
      <c r="O88">
        <f>1+M88*N88</f>
        <v>2.887</v>
      </c>
      <c r="P88">
        <v>1.1499999999999999</v>
      </c>
      <c r="Q88">
        <f>K88*L88*O88*P88</f>
        <v>10977.745325</v>
      </c>
      <c r="R88">
        <v>18</v>
      </c>
      <c r="S88">
        <f>Q88*R88</f>
        <v>197599.41584999999</v>
      </c>
      <c r="T88">
        <f>SUM(S88:S94)</f>
        <v>406745.20998549002</v>
      </c>
      <c r="V88" s="7"/>
    </row>
    <row r="89" spans="1:22" x14ac:dyDescent="0.3">
      <c r="A89" s="6"/>
      <c r="G89">
        <f t="shared" ref="G89:G90" si="51">3199+488+203</f>
        <v>3890</v>
      </c>
      <c r="H89">
        <v>1.5879000000000001</v>
      </c>
      <c r="I89">
        <v>3</v>
      </c>
      <c r="J89">
        <v>1</v>
      </c>
      <c r="K89">
        <f t="shared" ref="K89:K90" si="52">G89*H89*I89*J89</f>
        <v>18530.793000000001</v>
      </c>
      <c r="L89">
        <v>1</v>
      </c>
      <c r="M89">
        <v>0.85</v>
      </c>
      <c r="N89">
        <v>2.2200000000000002</v>
      </c>
      <c r="O89">
        <f t="shared" ref="O89:O90" si="53">1+M89*N89</f>
        <v>2.887</v>
      </c>
      <c r="P89">
        <v>1.1499999999999999</v>
      </c>
      <c r="Q89">
        <f t="shared" ref="Q89:Q90" si="54">K89*L89*O89*P89</f>
        <v>61523.159299650004</v>
      </c>
      <c r="R89">
        <v>1</v>
      </c>
      <c r="S89">
        <f t="shared" ref="S89:S90" si="55">Q89*R89</f>
        <v>61523.159299650004</v>
      </c>
      <c r="V89" s="7"/>
    </row>
    <row r="90" spans="1:22" x14ac:dyDescent="0.3">
      <c r="A90" s="6"/>
      <c r="G90">
        <f t="shared" si="51"/>
        <v>3890</v>
      </c>
      <c r="H90">
        <v>0.58320000000000005</v>
      </c>
      <c r="I90">
        <v>1</v>
      </c>
      <c r="J90">
        <v>1</v>
      </c>
      <c r="K90">
        <f t="shared" si="52"/>
        <v>2268.6480000000001</v>
      </c>
      <c r="L90">
        <v>1</v>
      </c>
      <c r="M90">
        <v>0.85</v>
      </c>
      <c r="N90">
        <v>2.2200000000000002</v>
      </c>
      <c r="O90">
        <f t="shared" si="53"/>
        <v>2.887</v>
      </c>
      <c r="P90">
        <v>1.1499999999999999</v>
      </c>
      <c r="Q90">
        <f t="shared" si="54"/>
        <v>7532.0247923999996</v>
      </c>
      <c r="R90">
        <v>1</v>
      </c>
      <c r="S90">
        <f t="shared" si="55"/>
        <v>7532.0247923999996</v>
      </c>
      <c r="V90" s="7"/>
    </row>
    <row r="91" spans="1:22" x14ac:dyDescent="0.3">
      <c r="A91" s="6"/>
      <c r="G91">
        <f>G80</f>
        <v>3402</v>
      </c>
      <c r="H91">
        <v>0.85</v>
      </c>
      <c r="I91">
        <v>1</v>
      </c>
      <c r="J91">
        <v>1</v>
      </c>
      <c r="K91">
        <f>G91*H91*I91*J91</f>
        <v>2891.7</v>
      </c>
      <c r="L91">
        <v>1</v>
      </c>
      <c r="M91">
        <v>0.85</v>
      </c>
      <c r="N91">
        <v>2.2200000000000002</v>
      </c>
      <c r="O91">
        <f>1+M91*N91</f>
        <v>2.887</v>
      </c>
      <c r="P91">
        <v>0.9</v>
      </c>
      <c r="Q91">
        <f>K91*L91*O91*P91</f>
        <v>7513.5041099999989</v>
      </c>
      <c r="R91">
        <v>18</v>
      </c>
      <c r="S91">
        <f>Q91*R91</f>
        <v>135243.07397999999</v>
      </c>
      <c r="V91" s="7"/>
    </row>
    <row r="92" spans="1:22" x14ac:dyDescent="0.3">
      <c r="A92" s="6"/>
      <c r="G92">
        <f>G85</f>
        <v>3199</v>
      </c>
      <c r="H92">
        <v>0.58320000000000005</v>
      </c>
      <c r="I92">
        <v>1</v>
      </c>
      <c r="J92">
        <v>1</v>
      </c>
      <c r="K92">
        <f t="shared" ref="K92" si="56">G92*H92*I92*J92</f>
        <v>1865.6568000000002</v>
      </c>
      <c r="L92">
        <v>1</v>
      </c>
      <c r="M92">
        <v>0.85</v>
      </c>
      <c r="N92">
        <v>2.2200000000000002</v>
      </c>
      <c r="O92">
        <f t="shared" ref="O92" si="57">1+M92*N92</f>
        <v>2.887</v>
      </c>
      <c r="P92">
        <v>0.9</v>
      </c>
      <c r="Q92">
        <f t="shared" ref="Q92" si="58">K92*L92*O92*P92</f>
        <v>4847.5360634400004</v>
      </c>
      <c r="R92">
        <v>1</v>
      </c>
      <c r="S92">
        <f t="shared" ref="S92" si="59">Q92*R92</f>
        <v>4847.5360634400004</v>
      </c>
      <c r="V92" s="7"/>
    </row>
    <row r="93" spans="1:22" ht="14.5" thickBot="1" x14ac:dyDescent="0.35">
      <c r="A93" s="6"/>
      <c r="V93" s="7"/>
    </row>
    <row r="94" spans="1:22" x14ac:dyDescent="0.3">
      <c r="A94" s="6"/>
      <c r="F94" s="19" t="s">
        <v>3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1"/>
    </row>
    <row r="95" spans="1:22" x14ac:dyDescent="0.3">
      <c r="A95" s="6"/>
      <c r="F95" s="6" t="s">
        <v>4</v>
      </c>
      <c r="G95" t="s">
        <v>1</v>
      </c>
      <c r="H95" t="s">
        <v>5</v>
      </c>
      <c r="I95" t="s">
        <v>6</v>
      </c>
      <c r="J95" t="s">
        <v>7</v>
      </c>
      <c r="K95" t="s">
        <v>8</v>
      </c>
      <c r="L95" t="s">
        <v>2</v>
      </c>
      <c r="M95" t="s">
        <v>18</v>
      </c>
      <c r="N95" t="s">
        <v>9</v>
      </c>
      <c r="O95" t="s">
        <v>10</v>
      </c>
      <c r="P95" t="s">
        <v>0</v>
      </c>
      <c r="Q95" t="s">
        <v>11</v>
      </c>
      <c r="R95" t="s">
        <v>12</v>
      </c>
      <c r="S95" t="s">
        <v>13</v>
      </c>
      <c r="T95" t="s">
        <v>14</v>
      </c>
      <c r="U95" t="s">
        <v>15</v>
      </c>
      <c r="V95" s="7" t="s">
        <v>16</v>
      </c>
    </row>
    <row r="96" spans="1:22" x14ac:dyDescent="0.3">
      <c r="A96" s="6"/>
      <c r="F96" s="6" t="s">
        <v>32</v>
      </c>
      <c r="G96">
        <v>2604</v>
      </c>
      <c r="H96">
        <v>8.2554999999999996</v>
      </c>
      <c r="I96">
        <v>1.28</v>
      </c>
      <c r="J96">
        <f>16*0.015+1</f>
        <v>1.24</v>
      </c>
      <c r="K96">
        <f>G96*H96*I96*J96</f>
        <v>34120.549478399997</v>
      </c>
      <c r="L96">
        <v>20</v>
      </c>
      <c r="M96">
        <v>1.4</v>
      </c>
      <c r="N96">
        <f>1+6*L96/(L96+2000)+M96</f>
        <v>2.4594059405940594</v>
      </c>
      <c r="O96">
        <v>0</v>
      </c>
      <c r="P96">
        <v>0.93</v>
      </c>
      <c r="Q96">
        <v>2.2999999999999998</v>
      </c>
      <c r="R96">
        <f>1+P96*Q96</f>
        <v>3.1389999999999998</v>
      </c>
      <c r="S96">
        <v>0.9</v>
      </c>
      <c r="T96">
        <v>1</v>
      </c>
      <c r="U96">
        <f>(K96*N96+O96)*R96*S96*T96</f>
        <v>237071.88851412546</v>
      </c>
      <c r="V96" s="7">
        <f>SUM(U96:U106)</f>
        <v>711356.55715608178</v>
      </c>
    </row>
    <row r="97" spans="1:22" x14ac:dyDescent="0.3">
      <c r="A97" s="6"/>
      <c r="F97" s="6"/>
      <c r="G97">
        <v>2604</v>
      </c>
      <c r="H97">
        <v>4.5</v>
      </c>
      <c r="I97">
        <v>2.2799999999999998</v>
      </c>
      <c r="J97">
        <f>16*0.015+1</f>
        <v>1.24</v>
      </c>
      <c r="K97">
        <f>G97*H97*I97*J97</f>
        <v>33129.129599999993</v>
      </c>
      <c r="L97">
        <v>20</v>
      </c>
      <c r="M97">
        <v>1.4</v>
      </c>
      <c r="N97">
        <f>1+6*L97/(L97+2000)+M97</f>
        <v>2.4594059405940594</v>
      </c>
      <c r="O97">
        <v>0</v>
      </c>
      <c r="P97">
        <v>0.93</v>
      </c>
      <c r="Q97">
        <v>2.2999999999999998</v>
      </c>
      <c r="R97">
        <f>1+P97*Q97</f>
        <v>3.1389999999999998</v>
      </c>
      <c r="S97">
        <v>0.9</v>
      </c>
      <c r="T97">
        <v>1</v>
      </c>
      <c r="U97">
        <f t="shared" ref="U97:U98" si="60">(K97*N97+O97)*R97*S97*T97</f>
        <v>230183.43605729961</v>
      </c>
      <c r="V97" s="7"/>
    </row>
    <row r="98" spans="1:22" x14ac:dyDescent="0.3">
      <c r="A98" s="6"/>
      <c r="F98" s="6" t="s">
        <v>33</v>
      </c>
      <c r="G98">
        <f>189+2604</f>
        <v>2793</v>
      </c>
      <c r="H98">
        <v>0.72950000000000004</v>
      </c>
      <c r="I98">
        <v>1.28</v>
      </c>
      <c r="J98">
        <f>17*0.015+1</f>
        <v>1.2549999999999999</v>
      </c>
      <c r="K98">
        <f t="shared" ref="K98:K106" si="61">G98*H98*I98*J98</f>
        <v>3273.0295584</v>
      </c>
      <c r="L98">
        <v>20</v>
      </c>
      <c r="M98">
        <v>1.6</v>
      </c>
      <c r="N98">
        <f t="shared" ref="N98:N106" si="62">1+6*L98/(L98+2000)+M98</f>
        <v>2.6594059405940595</v>
      </c>
      <c r="O98">
        <v>0</v>
      </c>
      <c r="P98">
        <v>0.93</v>
      </c>
      <c r="Q98">
        <v>2.2999999999999998</v>
      </c>
      <c r="R98">
        <f t="shared" ref="R98:R106" si="63">1+P98*Q98</f>
        <v>3.1389999999999998</v>
      </c>
      <c r="S98">
        <v>0.9</v>
      </c>
      <c r="T98">
        <v>1</v>
      </c>
      <c r="U98">
        <f t="shared" si="60"/>
        <v>24590.558191485808</v>
      </c>
      <c r="V98" s="7"/>
    </row>
    <row r="99" spans="1:22" x14ac:dyDescent="0.3">
      <c r="A99" s="6"/>
      <c r="F99" s="6" t="s">
        <v>34</v>
      </c>
      <c r="G99">
        <f t="shared" ref="G99:G105" si="64">189+2604</f>
        <v>2793</v>
      </c>
      <c r="H99">
        <v>0.87239999999999995</v>
      </c>
      <c r="I99">
        <v>1.28</v>
      </c>
      <c r="J99">
        <f t="shared" ref="J99:J105" si="65">17*0.015+1</f>
        <v>1.2549999999999999</v>
      </c>
      <c r="K99">
        <f t="shared" si="61"/>
        <v>3914.175444479999</v>
      </c>
      <c r="L99">
        <v>20</v>
      </c>
      <c r="M99">
        <v>1.3</v>
      </c>
      <c r="N99">
        <f t="shared" si="62"/>
        <v>2.3594059405940593</v>
      </c>
      <c r="O99">
        <v>0</v>
      </c>
      <c r="P99">
        <v>0.93</v>
      </c>
      <c r="Q99">
        <v>2.2999999999999998</v>
      </c>
      <c r="R99">
        <f t="shared" si="63"/>
        <v>3.1389999999999998</v>
      </c>
      <c r="S99">
        <v>1.1499999999999999</v>
      </c>
      <c r="T99">
        <v>1</v>
      </c>
      <c r="U99">
        <f t="shared" ref="U99:U106" si="66">(K99*N99+O99)*R99*S99*T99</f>
        <v>33337.429685083509</v>
      </c>
      <c r="V99" s="7"/>
    </row>
    <row r="100" spans="1:22" x14ac:dyDescent="0.3">
      <c r="A100" s="6"/>
      <c r="F100" s="6" t="s">
        <v>35</v>
      </c>
      <c r="G100">
        <f t="shared" si="64"/>
        <v>2793</v>
      </c>
      <c r="H100">
        <v>0.72950000000000004</v>
      </c>
      <c r="I100">
        <v>1.28</v>
      </c>
      <c r="J100">
        <f t="shared" si="65"/>
        <v>1.2549999999999999</v>
      </c>
      <c r="K100">
        <f t="shared" si="61"/>
        <v>3273.0295584</v>
      </c>
      <c r="L100">
        <v>20</v>
      </c>
      <c r="M100">
        <v>1.3</v>
      </c>
      <c r="N100">
        <f t="shared" si="62"/>
        <v>2.3594059405940593</v>
      </c>
      <c r="O100">
        <v>0</v>
      </c>
      <c r="P100">
        <v>0.93</v>
      </c>
      <c r="Q100">
        <v>2.2999999999999998</v>
      </c>
      <c r="R100">
        <f t="shared" si="63"/>
        <v>3.1389999999999998</v>
      </c>
      <c r="S100">
        <v>1.1499999999999999</v>
      </c>
      <c r="T100">
        <v>1</v>
      </c>
      <c r="U100">
        <f t="shared" si="66"/>
        <v>27876.725074814789</v>
      </c>
      <c r="V100" s="7"/>
    </row>
    <row r="101" spans="1:22" x14ac:dyDescent="0.3">
      <c r="A101" s="6"/>
      <c r="F101" s="6" t="s">
        <v>36</v>
      </c>
      <c r="G101">
        <f t="shared" si="64"/>
        <v>2793</v>
      </c>
      <c r="H101">
        <v>0.87239999999999995</v>
      </c>
      <c r="I101">
        <v>1.28</v>
      </c>
      <c r="J101">
        <f t="shared" si="65"/>
        <v>1.2549999999999999</v>
      </c>
      <c r="K101">
        <f t="shared" si="61"/>
        <v>3914.175444479999</v>
      </c>
      <c r="L101">
        <v>20</v>
      </c>
      <c r="M101">
        <v>1.3</v>
      </c>
      <c r="N101">
        <f t="shared" si="62"/>
        <v>2.3594059405940593</v>
      </c>
      <c r="O101">
        <v>0</v>
      </c>
      <c r="P101">
        <v>0.93</v>
      </c>
      <c r="Q101">
        <v>2.2999999999999998</v>
      </c>
      <c r="R101">
        <f t="shared" si="63"/>
        <v>3.1389999999999998</v>
      </c>
      <c r="S101">
        <v>1.1499999999999999</v>
      </c>
      <c r="T101">
        <v>1</v>
      </c>
      <c r="U101">
        <f t="shared" si="66"/>
        <v>33337.429685083509</v>
      </c>
      <c r="V101" s="7"/>
    </row>
    <row r="102" spans="1:22" x14ac:dyDescent="0.3">
      <c r="A102" s="6"/>
      <c r="F102" s="6" t="s">
        <v>37</v>
      </c>
      <c r="G102">
        <f t="shared" si="64"/>
        <v>2793</v>
      </c>
      <c r="H102">
        <v>0.72950000000000004</v>
      </c>
      <c r="I102">
        <v>1.28</v>
      </c>
      <c r="J102">
        <f t="shared" si="65"/>
        <v>1.2549999999999999</v>
      </c>
      <c r="K102">
        <f t="shared" si="61"/>
        <v>3273.0295584</v>
      </c>
      <c r="L102">
        <v>20</v>
      </c>
      <c r="M102">
        <v>1.3</v>
      </c>
      <c r="N102">
        <f t="shared" si="62"/>
        <v>2.3594059405940593</v>
      </c>
      <c r="O102">
        <v>0</v>
      </c>
      <c r="P102">
        <v>0.93</v>
      </c>
      <c r="Q102">
        <v>2.2999999999999998</v>
      </c>
      <c r="R102">
        <f t="shared" si="63"/>
        <v>3.1389999999999998</v>
      </c>
      <c r="S102">
        <v>1.1499999999999999</v>
      </c>
      <c r="T102">
        <v>1</v>
      </c>
      <c r="U102">
        <f t="shared" si="66"/>
        <v>27876.725074814789</v>
      </c>
      <c r="V102" s="7"/>
    </row>
    <row r="103" spans="1:22" x14ac:dyDescent="0.3">
      <c r="A103" s="6"/>
      <c r="F103" s="6" t="s">
        <v>38</v>
      </c>
      <c r="G103">
        <f t="shared" si="64"/>
        <v>2793</v>
      </c>
      <c r="H103">
        <v>0.87239999999999995</v>
      </c>
      <c r="I103">
        <v>1.28</v>
      </c>
      <c r="J103">
        <f t="shared" si="65"/>
        <v>1.2549999999999999</v>
      </c>
      <c r="K103">
        <f t="shared" si="61"/>
        <v>3914.175444479999</v>
      </c>
      <c r="L103">
        <v>20</v>
      </c>
      <c r="M103">
        <v>1.3</v>
      </c>
      <c r="N103">
        <f t="shared" si="62"/>
        <v>2.3594059405940593</v>
      </c>
      <c r="O103">
        <v>0</v>
      </c>
      <c r="P103">
        <v>0.93</v>
      </c>
      <c r="Q103">
        <v>2.2999999999999998</v>
      </c>
      <c r="R103">
        <f t="shared" si="63"/>
        <v>3.1389999999999998</v>
      </c>
      <c r="S103">
        <v>1.1499999999999999</v>
      </c>
      <c r="T103">
        <v>1</v>
      </c>
      <c r="U103">
        <f t="shared" si="66"/>
        <v>33337.429685083509</v>
      </c>
      <c r="V103" s="7"/>
    </row>
    <row r="104" spans="1:22" x14ac:dyDescent="0.3">
      <c r="A104" s="6"/>
      <c r="F104" s="6" t="s">
        <v>39</v>
      </c>
      <c r="G104">
        <f t="shared" si="64"/>
        <v>2793</v>
      </c>
      <c r="H104">
        <v>0.72950000000000004</v>
      </c>
      <c r="I104">
        <v>1.28</v>
      </c>
      <c r="J104">
        <f t="shared" si="65"/>
        <v>1.2549999999999999</v>
      </c>
      <c r="K104">
        <f t="shared" si="61"/>
        <v>3273.0295584</v>
      </c>
      <c r="L104">
        <v>20</v>
      </c>
      <c r="M104">
        <v>1.3</v>
      </c>
      <c r="N104">
        <f t="shared" si="62"/>
        <v>2.3594059405940593</v>
      </c>
      <c r="O104">
        <v>0</v>
      </c>
      <c r="P104">
        <v>0.93</v>
      </c>
      <c r="Q104">
        <v>2.2999999999999998</v>
      </c>
      <c r="R104">
        <f t="shared" si="63"/>
        <v>3.1389999999999998</v>
      </c>
      <c r="S104">
        <v>0.9</v>
      </c>
      <c r="T104">
        <v>1</v>
      </c>
      <c r="U104">
        <f t="shared" si="66"/>
        <v>21816.567449855054</v>
      </c>
      <c r="V104" s="7"/>
    </row>
    <row r="105" spans="1:22" x14ac:dyDescent="0.3">
      <c r="A105" s="6"/>
      <c r="F105" s="6" t="s">
        <v>40</v>
      </c>
      <c r="G105">
        <f t="shared" si="64"/>
        <v>2793</v>
      </c>
      <c r="H105">
        <v>0.87239999999999995</v>
      </c>
      <c r="I105">
        <v>1.28</v>
      </c>
      <c r="J105">
        <f t="shared" si="65"/>
        <v>1.2549999999999999</v>
      </c>
      <c r="K105">
        <f t="shared" si="61"/>
        <v>3914.175444479999</v>
      </c>
      <c r="L105">
        <v>20</v>
      </c>
      <c r="M105">
        <v>1.3</v>
      </c>
      <c r="N105">
        <f t="shared" si="62"/>
        <v>2.3594059405940593</v>
      </c>
      <c r="O105">
        <v>0</v>
      </c>
      <c r="P105">
        <v>0.93</v>
      </c>
      <c r="Q105">
        <v>2.2999999999999998</v>
      </c>
      <c r="R105">
        <f t="shared" si="63"/>
        <v>3.1389999999999998</v>
      </c>
      <c r="S105">
        <v>0.9</v>
      </c>
      <c r="T105">
        <v>1</v>
      </c>
      <c r="U105">
        <f t="shared" si="66"/>
        <v>26090.162362239269</v>
      </c>
      <c r="V105" s="7"/>
    </row>
    <row r="106" spans="1:22" x14ac:dyDescent="0.3">
      <c r="A106" s="6"/>
      <c r="F106" s="6" t="s">
        <v>41</v>
      </c>
      <c r="G106">
        <v>2604</v>
      </c>
      <c r="H106">
        <v>0.72950000000000004</v>
      </c>
      <c r="I106">
        <v>1.28</v>
      </c>
      <c r="J106">
        <v>1.24</v>
      </c>
      <c r="K106">
        <f t="shared" si="61"/>
        <v>3015.0736896000003</v>
      </c>
      <c r="L106">
        <v>20</v>
      </c>
      <c r="M106">
        <v>0.8</v>
      </c>
      <c r="N106">
        <f t="shared" si="62"/>
        <v>1.8594059405940595</v>
      </c>
      <c r="O106">
        <v>0</v>
      </c>
      <c r="P106">
        <v>0.93</v>
      </c>
      <c r="Q106">
        <v>2.2999999999999998</v>
      </c>
      <c r="R106">
        <f t="shared" si="63"/>
        <v>3.1389999999999998</v>
      </c>
      <c r="S106">
        <v>0.9</v>
      </c>
      <c r="T106">
        <v>1</v>
      </c>
      <c r="U106">
        <f t="shared" si="66"/>
        <v>15838.205376196307</v>
      </c>
      <c r="V106" s="7"/>
    </row>
    <row r="107" spans="1:22" x14ac:dyDescent="0.3">
      <c r="A107" s="6"/>
      <c r="F107" s="6"/>
      <c r="V107" s="7"/>
    </row>
    <row r="108" spans="1:22" x14ac:dyDescent="0.3">
      <c r="A108" s="6"/>
      <c r="F108" s="6"/>
      <c r="G108" t="s">
        <v>1</v>
      </c>
      <c r="H108" t="s">
        <v>5</v>
      </c>
      <c r="I108" t="s">
        <v>7</v>
      </c>
      <c r="J108" t="s">
        <v>7</v>
      </c>
      <c r="K108" t="s">
        <v>8</v>
      </c>
      <c r="L108" t="s">
        <v>22</v>
      </c>
      <c r="M108" t="s">
        <v>0</v>
      </c>
      <c r="N108" t="s">
        <v>11</v>
      </c>
      <c r="O108" t="s">
        <v>12</v>
      </c>
      <c r="P108" t="s">
        <v>13</v>
      </c>
      <c r="Q108" t="s">
        <v>15</v>
      </c>
      <c r="R108" t="s">
        <v>23</v>
      </c>
      <c r="S108" t="s">
        <v>24</v>
      </c>
      <c r="T108" t="s">
        <v>16</v>
      </c>
      <c r="V108" s="7"/>
    </row>
    <row r="109" spans="1:22" x14ac:dyDescent="0.3">
      <c r="A109" s="6"/>
      <c r="F109" s="6"/>
      <c r="G109">
        <f>G96</f>
        <v>2604</v>
      </c>
      <c r="H109">
        <v>1.9454</v>
      </c>
      <c r="I109">
        <v>1</v>
      </c>
      <c r="J109">
        <v>1</v>
      </c>
      <c r="K109">
        <f>G109*H109*I109*J109</f>
        <v>5065.8216000000002</v>
      </c>
      <c r="L109">
        <v>1</v>
      </c>
      <c r="M109">
        <v>0.93</v>
      </c>
      <c r="N109">
        <v>2.2999999999999998</v>
      </c>
      <c r="O109">
        <f>1+M109*N109</f>
        <v>3.1389999999999998</v>
      </c>
      <c r="P109">
        <v>0.9</v>
      </c>
      <c r="Q109">
        <f>K109*L109*O109*P109</f>
        <v>14311.45260216</v>
      </c>
      <c r="R109">
        <v>1</v>
      </c>
      <c r="S109">
        <f>Q109*R109</f>
        <v>14311.45260216</v>
      </c>
      <c r="T109">
        <f>SUM(S109:S110)</f>
        <v>136818.63331352998</v>
      </c>
      <c r="V109" s="7"/>
    </row>
    <row r="110" spans="1:22" ht="14.5" thickBot="1" x14ac:dyDescent="0.35">
      <c r="A110" s="6"/>
      <c r="F110" s="8"/>
      <c r="G110" s="9">
        <f>G101</f>
        <v>2793</v>
      </c>
      <c r="H110" s="9">
        <v>1.7251000000000001</v>
      </c>
      <c r="I110" s="9">
        <v>1</v>
      </c>
      <c r="J110" s="9">
        <v>1</v>
      </c>
      <c r="K110" s="9">
        <f>G110*H110*I110*J110</f>
        <v>4818.2043000000003</v>
      </c>
      <c r="L110" s="9">
        <v>1</v>
      </c>
      <c r="M110" s="9">
        <v>0.93</v>
      </c>
      <c r="N110" s="9">
        <v>2.2999999999999998</v>
      </c>
      <c r="O110" s="9">
        <f>1+M110*N110</f>
        <v>3.1389999999999998</v>
      </c>
      <c r="P110" s="9">
        <v>0.9</v>
      </c>
      <c r="Q110" s="9">
        <f>K110*L110*O110*P110</f>
        <v>13611.90896793</v>
      </c>
      <c r="R110" s="9">
        <v>9</v>
      </c>
      <c r="S110" s="9">
        <f>Q110*R110</f>
        <v>122507.18071136999</v>
      </c>
      <c r="T110" s="9"/>
      <c r="U110" s="9"/>
      <c r="V110" s="10"/>
    </row>
    <row r="111" spans="1:22" x14ac:dyDescent="0.3">
      <c r="A111" s="6"/>
      <c r="V111" s="7"/>
    </row>
    <row r="112" spans="1:22" ht="14.5" thickBot="1" x14ac:dyDescent="0.35">
      <c r="A112" s="6"/>
      <c r="F112" s="22" t="s">
        <v>53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7"/>
    </row>
    <row r="113" spans="1:22" x14ac:dyDescent="0.3">
      <c r="A113" s="6"/>
      <c r="F113" s="3"/>
      <c r="G113" s="4" t="s">
        <v>42</v>
      </c>
      <c r="H113" s="4" t="s">
        <v>43</v>
      </c>
      <c r="I113" s="4" t="s">
        <v>6</v>
      </c>
      <c r="J113" s="4" t="s">
        <v>2</v>
      </c>
      <c r="K113" s="4" t="s">
        <v>18</v>
      </c>
      <c r="L113" s="4" t="s">
        <v>9</v>
      </c>
      <c r="M113" s="4" t="s">
        <v>0</v>
      </c>
      <c r="N113" s="4" t="s">
        <v>11</v>
      </c>
      <c r="O113" s="4" t="s">
        <v>12</v>
      </c>
      <c r="P113" s="4" t="s">
        <v>13</v>
      </c>
      <c r="Q113" s="4" t="s">
        <v>14</v>
      </c>
      <c r="R113" s="4" t="s">
        <v>48</v>
      </c>
      <c r="S113" s="4" t="s">
        <v>49</v>
      </c>
      <c r="T113" s="4" t="s">
        <v>51</v>
      </c>
      <c r="U113" s="5" t="s">
        <v>16</v>
      </c>
      <c r="V113" s="7"/>
    </row>
    <row r="114" spans="1:22" x14ac:dyDescent="0.3">
      <c r="A114" s="6"/>
      <c r="F114" s="6" t="s">
        <v>44</v>
      </c>
      <c r="G114">
        <v>1446.85</v>
      </c>
      <c r="H114">
        <v>2</v>
      </c>
      <c r="I114">
        <v>1.28</v>
      </c>
      <c r="J114">
        <v>200</v>
      </c>
      <c r="K114">
        <v>2.68</v>
      </c>
      <c r="L114">
        <f>1+6*J114/(J114+2000)+K114</f>
        <v>4.2254545454545456</v>
      </c>
      <c r="M114">
        <v>0.85</v>
      </c>
      <c r="N114">
        <v>2.2200000000000002</v>
      </c>
      <c r="O114">
        <f>1+M114*N114</f>
        <v>2.887</v>
      </c>
      <c r="P114">
        <v>1.1499999999999999</v>
      </c>
      <c r="Q114">
        <v>1</v>
      </c>
      <c r="R114">
        <v>0.6</v>
      </c>
      <c r="S114">
        <f>G114*H114*I114*L114*O114*P114*Q114*R114</f>
        <v>31176.889433283483</v>
      </c>
      <c r="T114">
        <v>2</v>
      </c>
      <c r="U114" s="7">
        <f>T116*T114</f>
        <v>79094.496013552794</v>
      </c>
      <c r="V114" s="7"/>
    </row>
    <row r="115" spans="1:22" x14ac:dyDescent="0.3">
      <c r="A115" s="6"/>
      <c r="F115" s="6" t="s">
        <v>45</v>
      </c>
      <c r="G115">
        <v>1446.85</v>
      </c>
      <c r="H115">
        <v>2</v>
      </c>
      <c r="I115">
        <v>1.28</v>
      </c>
      <c r="J115">
        <v>0</v>
      </c>
      <c r="K115">
        <v>2.2000000000000002</v>
      </c>
      <c r="L115">
        <f t="shared" ref="L115:L117" si="67">1+6*J115/(J115+2000)+K115</f>
        <v>3.2</v>
      </c>
      <c r="M115">
        <v>0.5</v>
      </c>
      <c r="N115">
        <v>1.5</v>
      </c>
      <c r="O115">
        <f t="shared" ref="O115:O117" si="68">1+M115*N115</f>
        <v>1.75</v>
      </c>
      <c r="P115">
        <v>0.9</v>
      </c>
      <c r="Q115">
        <v>1</v>
      </c>
      <c r="R115">
        <v>0.3</v>
      </c>
      <c r="S115">
        <f t="shared" ref="S115:S117" si="69">G115*H115*I115*L115*O115*P115*Q115*R115</f>
        <v>5600.351232</v>
      </c>
      <c r="T115" t="s">
        <v>15</v>
      </c>
      <c r="U115" s="7"/>
      <c r="V115" s="7"/>
    </row>
    <row r="116" spans="1:22" x14ac:dyDescent="0.3">
      <c r="A116" s="6"/>
      <c r="F116" s="6" t="s">
        <v>46</v>
      </c>
      <c r="G116">
        <v>1446.85</v>
      </c>
      <c r="H116">
        <v>2</v>
      </c>
      <c r="I116">
        <v>1.28</v>
      </c>
      <c r="J116">
        <v>20</v>
      </c>
      <c r="K116">
        <v>1.3</v>
      </c>
      <c r="L116">
        <f t="shared" si="67"/>
        <v>2.3594059405940593</v>
      </c>
      <c r="M116">
        <v>0.93</v>
      </c>
      <c r="N116">
        <v>2.2999999999999998</v>
      </c>
      <c r="O116">
        <f t="shared" si="68"/>
        <v>3.1389999999999998</v>
      </c>
      <c r="P116">
        <v>1.1499999999999999</v>
      </c>
      <c r="Q116">
        <v>1</v>
      </c>
      <c r="R116">
        <v>0.05</v>
      </c>
      <c r="S116">
        <f t="shared" si="69"/>
        <v>1577.3399494929104</v>
      </c>
      <c r="T116">
        <f>SUM(S114:S117)</f>
        <v>39547.248006776397</v>
      </c>
      <c r="U116" s="7"/>
      <c r="V116" s="7"/>
    </row>
    <row r="117" spans="1:22" x14ac:dyDescent="0.3">
      <c r="A117" s="6"/>
      <c r="F117" s="6" t="s">
        <v>47</v>
      </c>
      <c r="G117">
        <v>1446.85</v>
      </c>
      <c r="H117">
        <v>2</v>
      </c>
      <c r="I117">
        <v>1.28</v>
      </c>
      <c r="J117">
        <v>0</v>
      </c>
      <c r="K117">
        <v>2.2000000000000002</v>
      </c>
      <c r="L117">
        <f t="shared" si="67"/>
        <v>3.2</v>
      </c>
      <c r="M117">
        <v>0.5</v>
      </c>
      <c r="N117">
        <v>1.5</v>
      </c>
      <c r="O117">
        <f t="shared" si="68"/>
        <v>1.75</v>
      </c>
      <c r="P117">
        <v>1.1499999999999999</v>
      </c>
      <c r="Q117">
        <v>1</v>
      </c>
      <c r="R117">
        <v>0.05</v>
      </c>
      <c r="S117">
        <f t="shared" si="69"/>
        <v>1192.6673920000001</v>
      </c>
      <c r="U117" s="7"/>
      <c r="V117" s="7"/>
    </row>
    <row r="118" spans="1:22" x14ac:dyDescent="0.3">
      <c r="A118" s="6"/>
      <c r="F118" s="6"/>
      <c r="U118" s="7"/>
      <c r="V118" s="7"/>
    </row>
    <row r="119" spans="1:22" x14ac:dyDescent="0.3">
      <c r="A119" s="6"/>
      <c r="F119" s="6"/>
      <c r="G119" t="s">
        <v>42</v>
      </c>
      <c r="H119" t="s">
        <v>43</v>
      </c>
      <c r="I119" t="s">
        <v>6</v>
      </c>
      <c r="J119" t="s">
        <v>2</v>
      </c>
      <c r="K119" t="s">
        <v>18</v>
      </c>
      <c r="L119" t="s">
        <v>9</v>
      </c>
      <c r="M119" t="s">
        <v>0</v>
      </c>
      <c r="N119" t="s">
        <v>11</v>
      </c>
      <c r="O119" t="s">
        <v>12</v>
      </c>
      <c r="P119" t="s">
        <v>13</v>
      </c>
      <c r="Q119" t="s">
        <v>14</v>
      </c>
      <c r="R119" t="s">
        <v>48</v>
      </c>
      <c r="S119" t="s">
        <v>49</v>
      </c>
      <c r="T119" t="s">
        <v>51</v>
      </c>
      <c r="U119" s="7" t="s">
        <v>16</v>
      </c>
      <c r="V119" s="7"/>
    </row>
    <row r="120" spans="1:22" x14ac:dyDescent="0.3">
      <c r="A120" s="6"/>
      <c r="F120" s="6" t="s">
        <v>44</v>
      </c>
      <c r="G120">
        <v>1446.85</v>
      </c>
      <c r="H120">
        <v>2</v>
      </c>
      <c r="I120">
        <v>1.28</v>
      </c>
      <c r="J120">
        <v>200</v>
      </c>
      <c r="K120">
        <v>2.68</v>
      </c>
      <c r="L120">
        <f>1+6*J120/(J120+2000)+K120</f>
        <v>4.2254545454545456</v>
      </c>
      <c r="M120">
        <v>0.85</v>
      </c>
      <c r="N120">
        <v>2.2200000000000002</v>
      </c>
      <c r="O120">
        <f>1+M120*N120</f>
        <v>2.887</v>
      </c>
      <c r="P120">
        <v>0.9</v>
      </c>
      <c r="Q120">
        <v>1</v>
      </c>
      <c r="R120">
        <v>0.6</v>
      </c>
      <c r="S120">
        <f>G120*H120*I120*L120*O120*P120*Q120*R120</f>
        <v>24399.304773874035</v>
      </c>
      <c r="T120">
        <v>2</v>
      </c>
      <c r="U120" s="7">
        <f>T122*T120</f>
        <v>64334.975676693495</v>
      </c>
      <c r="V120" s="7"/>
    </row>
    <row r="121" spans="1:22" x14ac:dyDescent="0.3">
      <c r="A121" s="6"/>
      <c r="F121" s="6" t="s">
        <v>45</v>
      </c>
      <c r="G121">
        <v>1446.85</v>
      </c>
      <c r="H121">
        <v>2</v>
      </c>
      <c r="I121">
        <v>1.28</v>
      </c>
      <c r="J121">
        <v>0</v>
      </c>
      <c r="K121">
        <v>2.2000000000000002</v>
      </c>
      <c r="L121">
        <f t="shared" ref="L121:L123" si="70">1+6*J121/(J121+2000)+K121</f>
        <v>3.2</v>
      </c>
      <c r="M121">
        <v>0.5</v>
      </c>
      <c r="N121">
        <v>1.5</v>
      </c>
      <c r="O121">
        <f t="shared" ref="O121:O123" si="71">1+M121*N121</f>
        <v>1.75</v>
      </c>
      <c r="P121">
        <v>0.9</v>
      </c>
      <c r="Q121">
        <v>1</v>
      </c>
      <c r="R121">
        <v>0.3</v>
      </c>
      <c r="S121">
        <f t="shared" ref="S121:S123" si="72">G121*H121*I121*L121*O121*P121*Q121*R121</f>
        <v>5600.351232</v>
      </c>
      <c r="T121" t="s">
        <v>15</v>
      </c>
      <c r="U121" s="7"/>
      <c r="V121" s="7"/>
    </row>
    <row r="122" spans="1:22" x14ac:dyDescent="0.3">
      <c r="A122" s="6"/>
      <c r="F122" s="6" t="s">
        <v>46</v>
      </c>
      <c r="G122">
        <v>1446.85</v>
      </c>
      <c r="H122">
        <v>2</v>
      </c>
      <c r="I122">
        <v>1.28</v>
      </c>
      <c r="J122">
        <v>20</v>
      </c>
      <c r="K122">
        <v>1.3</v>
      </c>
      <c r="L122">
        <f t="shared" si="70"/>
        <v>2.3594059405940593</v>
      </c>
      <c r="M122">
        <v>0.93</v>
      </c>
      <c r="N122">
        <v>2.2999999999999998</v>
      </c>
      <c r="O122">
        <f t="shared" si="71"/>
        <v>3.1389999999999998</v>
      </c>
      <c r="P122">
        <v>0.9</v>
      </c>
      <c r="Q122">
        <v>1</v>
      </c>
      <c r="R122">
        <v>0.05</v>
      </c>
      <c r="S122">
        <f t="shared" si="72"/>
        <v>1234.4399604727125</v>
      </c>
      <c r="T122">
        <f>SUM(S120:S123)</f>
        <v>32167.487838346748</v>
      </c>
      <c r="U122" s="7"/>
      <c r="V122" s="7"/>
    </row>
    <row r="123" spans="1:22" ht="14.5" thickBot="1" x14ac:dyDescent="0.35">
      <c r="A123" s="6"/>
      <c r="F123" s="8" t="s">
        <v>47</v>
      </c>
      <c r="G123" s="9">
        <v>1446.85</v>
      </c>
      <c r="H123" s="9">
        <v>2</v>
      </c>
      <c r="I123" s="9">
        <v>1.28</v>
      </c>
      <c r="J123" s="9">
        <v>0</v>
      </c>
      <c r="K123" s="9">
        <v>2.2000000000000002</v>
      </c>
      <c r="L123" s="9">
        <f t="shared" si="70"/>
        <v>3.2</v>
      </c>
      <c r="M123">
        <v>0.5</v>
      </c>
      <c r="N123" s="9">
        <v>1.5</v>
      </c>
      <c r="O123" s="9">
        <f t="shared" si="71"/>
        <v>1.75</v>
      </c>
      <c r="P123" s="9">
        <v>0.9</v>
      </c>
      <c r="Q123" s="9">
        <v>1</v>
      </c>
      <c r="R123" s="9">
        <v>0.05</v>
      </c>
      <c r="S123" s="9">
        <f t="shared" si="72"/>
        <v>933.39187200000003</v>
      </c>
      <c r="T123" s="9"/>
      <c r="U123" s="10"/>
      <c r="V123" s="7"/>
    </row>
    <row r="124" spans="1:22" ht="14.5" thickBot="1" x14ac:dyDescent="0.35">
      <c r="A124" s="6"/>
      <c r="F124" s="23" t="s">
        <v>54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7"/>
    </row>
    <row r="125" spans="1:22" x14ac:dyDescent="0.3">
      <c r="A125" s="6"/>
      <c r="F125" s="3"/>
      <c r="G125" s="4" t="s">
        <v>42</v>
      </c>
      <c r="H125" s="4" t="s">
        <v>52</v>
      </c>
      <c r="I125" s="4" t="s">
        <v>6</v>
      </c>
      <c r="J125" s="4" t="s">
        <v>2</v>
      </c>
      <c r="K125" s="4" t="s">
        <v>18</v>
      </c>
      <c r="L125" s="4" t="s">
        <v>9</v>
      </c>
      <c r="M125" s="4" t="s">
        <v>0</v>
      </c>
      <c r="N125" s="4" t="s">
        <v>11</v>
      </c>
      <c r="O125" s="4" t="s">
        <v>12</v>
      </c>
      <c r="P125" s="4" t="s">
        <v>13</v>
      </c>
      <c r="Q125" s="4" t="s">
        <v>14</v>
      </c>
      <c r="R125" s="4" t="s">
        <v>48</v>
      </c>
      <c r="S125" s="4" t="s">
        <v>49</v>
      </c>
      <c r="T125" s="4" t="s">
        <v>51</v>
      </c>
      <c r="U125" s="5" t="s">
        <v>16</v>
      </c>
      <c r="V125" s="7"/>
    </row>
    <row r="126" spans="1:22" x14ac:dyDescent="0.3">
      <c r="A126" s="6"/>
      <c r="F126" s="6" t="s">
        <v>44</v>
      </c>
      <c r="G126">
        <v>1446.85</v>
      </c>
      <c r="H126">
        <v>0.75</v>
      </c>
      <c r="I126">
        <v>1.28</v>
      </c>
      <c r="J126">
        <v>0</v>
      </c>
      <c r="K126">
        <v>2.2000000000000002</v>
      </c>
      <c r="L126">
        <f t="shared" ref="L126" si="73">1+6*J126/(J126+2000)+K126</f>
        <v>3.2</v>
      </c>
      <c r="M126">
        <v>0.5</v>
      </c>
      <c r="N126">
        <v>1.5</v>
      </c>
      <c r="O126">
        <f t="shared" ref="O126" si="74">1+M126*N126</f>
        <v>1.75</v>
      </c>
      <c r="P126">
        <v>0.9</v>
      </c>
      <c r="Q126">
        <v>1</v>
      </c>
      <c r="R126">
        <v>0.6</v>
      </c>
      <c r="S126">
        <f>G126*H126*I126*L126*O126*P126*Q126*R126</f>
        <v>4200.2634239999998</v>
      </c>
      <c r="T126">
        <v>4</v>
      </c>
      <c r="U126" s="7">
        <f>T128*T126</f>
        <v>44338.731783201969</v>
      </c>
      <c r="V126" s="7"/>
    </row>
    <row r="127" spans="1:22" x14ac:dyDescent="0.3">
      <c r="A127" s="6"/>
      <c r="F127" s="6" t="s">
        <v>45</v>
      </c>
      <c r="G127">
        <v>1446.85</v>
      </c>
      <c r="H127">
        <v>0.75</v>
      </c>
      <c r="I127">
        <v>1.28</v>
      </c>
      <c r="J127">
        <v>200</v>
      </c>
      <c r="K127">
        <v>2.68</v>
      </c>
      <c r="L127">
        <f>1+6*J127/(J127+2000)+K127</f>
        <v>4.2254545454545456</v>
      </c>
      <c r="M127">
        <v>0.85</v>
      </c>
      <c r="N127">
        <v>2.2200000000000002</v>
      </c>
      <c r="O127">
        <f>1+M127*N127</f>
        <v>2.887</v>
      </c>
      <c r="P127">
        <v>1.1499999999999999</v>
      </c>
      <c r="Q127">
        <v>1</v>
      </c>
      <c r="R127">
        <v>0.3</v>
      </c>
      <c r="S127">
        <f t="shared" ref="S127:S129" si="75">G127*H127*I127*L127*O127*P127*Q127*R127</f>
        <v>5845.6667687406534</v>
      </c>
      <c r="T127" t="s">
        <v>15</v>
      </c>
      <c r="U127" s="7"/>
      <c r="V127" s="7"/>
    </row>
    <row r="128" spans="1:22" x14ac:dyDescent="0.3">
      <c r="A128" s="6"/>
      <c r="F128" s="6" t="s">
        <v>46</v>
      </c>
      <c r="G128">
        <v>1446.85</v>
      </c>
      <c r="H128">
        <v>0.75</v>
      </c>
      <c r="I128">
        <v>1.28</v>
      </c>
      <c r="J128">
        <v>20</v>
      </c>
      <c r="K128">
        <v>1.3</v>
      </c>
      <c r="L128">
        <f t="shared" ref="L128:L129" si="76">1+6*J128/(J128+2000)+K128</f>
        <v>2.3594059405940593</v>
      </c>
      <c r="M128">
        <v>0.93</v>
      </c>
      <c r="N128">
        <v>2.2999999999999998</v>
      </c>
      <c r="O128">
        <f t="shared" ref="O128:O129" si="77">1+M128*N128</f>
        <v>3.1389999999999998</v>
      </c>
      <c r="P128">
        <v>1.1499999999999999</v>
      </c>
      <c r="Q128">
        <v>1</v>
      </c>
      <c r="R128">
        <v>0.05</v>
      </c>
      <c r="S128">
        <f t="shared" si="75"/>
        <v>591.50248105984144</v>
      </c>
      <c r="T128">
        <f>SUM(S126:S129)</f>
        <v>11084.682945800492</v>
      </c>
      <c r="U128" s="7"/>
      <c r="V128" s="7"/>
    </row>
    <row r="129" spans="1:22" x14ac:dyDescent="0.3">
      <c r="A129" s="6"/>
      <c r="F129" s="6" t="s">
        <v>47</v>
      </c>
      <c r="G129">
        <v>1446.85</v>
      </c>
      <c r="H129">
        <v>0.75</v>
      </c>
      <c r="I129">
        <v>1.28</v>
      </c>
      <c r="J129">
        <v>0</v>
      </c>
      <c r="K129">
        <v>2.2000000000000002</v>
      </c>
      <c r="L129">
        <f t="shared" si="76"/>
        <v>3.2</v>
      </c>
      <c r="M129">
        <v>0.5</v>
      </c>
      <c r="N129">
        <v>1.5</v>
      </c>
      <c r="O129">
        <f t="shared" si="77"/>
        <v>1.75</v>
      </c>
      <c r="P129">
        <v>1.1499999999999999</v>
      </c>
      <c r="Q129">
        <v>1</v>
      </c>
      <c r="R129">
        <v>0.05</v>
      </c>
      <c r="S129">
        <f t="shared" si="75"/>
        <v>447.25027199999988</v>
      </c>
      <c r="U129" s="7"/>
      <c r="V129" s="7"/>
    </row>
    <row r="130" spans="1:22" x14ac:dyDescent="0.3">
      <c r="A130" s="6"/>
      <c r="F130" s="6"/>
      <c r="U130" s="7"/>
      <c r="V130" s="7"/>
    </row>
    <row r="131" spans="1:22" x14ac:dyDescent="0.3">
      <c r="A131" s="6"/>
      <c r="F131" s="6"/>
      <c r="G131" t="s">
        <v>42</v>
      </c>
      <c r="H131" t="s">
        <v>52</v>
      </c>
      <c r="I131" t="s">
        <v>6</v>
      </c>
      <c r="J131" t="s">
        <v>2</v>
      </c>
      <c r="K131" t="s">
        <v>18</v>
      </c>
      <c r="L131" t="s">
        <v>9</v>
      </c>
      <c r="M131" t="s">
        <v>0</v>
      </c>
      <c r="N131" t="s">
        <v>11</v>
      </c>
      <c r="O131" t="s">
        <v>12</v>
      </c>
      <c r="P131" t="s">
        <v>13</v>
      </c>
      <c r="Q131" t="s">
        <v>14</v>
      </c>
      <c r="R131" t="s">
        <v>48</v>
      </c>
      <c r="S131" t="s">
        <v>49</v>
      </c>
      <c r="T131" t="s">
        <v>51</v>
      </c>
      <c r="U131" s="7" t="s">
        <v>16</v>
      </c>
      <c r="V131" s="7"/>
    </row>
    <row r="132" spans="1:22" x14ac:dyDescent="0.3">
      <c r="A132" s="6"/>
      <c r="F132" s="6" t="s">
        <v>44</v>
      </c>
      <c r="G132">
        <v>1446.85</v>
      </c>
      <c r="H132">
        <v>0.75</v>
      </c>
      <c r="I132">
        <v>1.28</v>
      </c>
      <c r="J132">
        <v>0</v>
      </c>
      <c r="K132">
        <v>2.2000000000000002</v>
      </c>
      <c r="L132">
        <f t="shared" ref="L132" si="78">1+6*J132/(J132+2000)+K132</f>
        <v>3.2</v>
      </c>
      <c r="M132">
        <v>0.5</v>
      </c>
      <c r="N132">
        <v>1.5</v>
      </c>
      <c r="O132">
        <f t="shared" ref="O132" si="79">1+M132*N132</f>
        <v>1.75</v>
      </c>
      <c r="P132">
        <v>0.9</v>
      </c>
      <c r="Q132">
        <v>1</v>
      </c>
      <c r="R132">
        <v>0.6</v>
      </c>
      <c r="S132">
        <f>G132*H132*I132*L132*O132*P132*Q132*R132</f>
        <v>4200.2634239999998</v>
      </c>
      <c r="T132">
        <v>2</v>
      </c>
      <c r="U132" s="7">
        <f>T134*T132</f>
        <v>19627.771644322445</v>
      </c>
      <c r="V132" s="7"/>
    </row>
    <row r="133" spans="1:22" x14ac:dyDescent="0.3">
      <c r="A133" s="6"/>
      <c r="F133" s="6" t="s">
        <v>45</v>
      </c>
      <c r="G133">
        <v>1446.85</v>
      </c>
      <c r="H133">
        <v>0.75</v>
      </c>
      <c r="I133">
        <v>1.28</v>
      </c>
      <c r="J133">
        <v>200</v>
      </c>
      <c r="K133">
        <v>2.68</v>
      </c>
      <c r="L133">
        <f>1+6*J133/(J133+2000)+K133</f>
        <v>4.2254545454545456</v>
      </c>
      <c r="M133">
        <v>0.85</v>
      </c>
      <c r="N133">
        <v>2.2200000000000002</v>
      </c>
      <c r="O133">
        <f>1+M133*N133</f>
        <v>2.887</v>
      </c>
      <c r="P133">
        <v>0.9</v>
      </c>
      <c r="Q133">
        <v>1</v>
      </c>
      <c r="R133">
        <v>0.3</v>
      </c>
      <c r="S133">
        <f t="shared" ref="S133:S135" si="80">G133*H133*I133*L133*O133*P133*Q133*R133</f>
        <v>4574.869645101382</v>
      </c>
      <c r="T133" t="s">
        <v>15</v>
      </c>
      <c r="U133" s="7"/>
      <c r="V133" s="7"/>
    </row>
    <row r="134" spans="1:22" x14ac:dyDescent="0.3">
      <c r="A134" s="6"/>
      <c r="F134" s="6" t="s">
        <v>46</v>
      </c>
      <c r="G134">
        <v>1446.85</v>
      </c>
      <c r="H134">
        <v>0.75</v>
      </c>
      <c r="I134">
        <v>1.28</v>
      </c>
      <c r="J134">
        <v>20</v>
      </c>
      <c r="K134">
        <v>1.3</v>
      </c>
      <c r="L134">
        <f t="shared" ref="L134:L135" si="81">1+6*J134/(J134+2000)+K134</f>
        <v>2.3594059405940593</v>
      </c>
      <c r="M134">
        <v>0.93</v>
      </c>
      <c r="N134">
        <v>2.2999999999999998</v>
      </c>
      <c r="O134">
        <f t="shared" ref="O134:O135" si="82">1+M134*N134</f>
        <v>3.1389999999999998</v>
      </c>
      <c r="P134">
        <v>1.1499999999999999</v>
      </c>
      <c r="Q134">
        <v>1</v>
      </c>
      <c r="R134">
        <v>0.05</v>
      </c>
      <c r="S134">
        <f t="shared" si="80"/>
        <v>591.50248105984144</v>
      </c>
      <c r="T134">
        <f>SUM(S132:S135)</f>
        <v>9813.8858221612227</v>
      </c>
      <c r="U134" s="7"/>
      <c r="V134" s="7"/>
    </row>
    <row r="135" spans="1:22" ht="14.5" thickBot="1" x14ac:dyDescent="0.35">
      <c r="A135" s="8"/>
      <c r="B135" s="9"/>
      <c r="C135" s="9"/>
      <c r="D135" s="9"/>
      <c r="E135" s="9"/>
      <c r="F135" s="8" t="s">
        <v>47</v>
      </c>
      <c r="G135" s="9">
        <v>1446.85</v>
      </c>
      <c r="H135" s="9">
        <v>0.75</v>
      </c>
      <c r="I135" s="9">
        <v>1.28</v>
      </c>
      <c r="J135" s="9">
        <v>0</v>
      </c>
      <c r="K135" s="9">
        <v>2.2000000000000002</v>
      </c>
      <c r="L135" s="9">
        <f t="shared" si="81"/>
        <v>3.2</v>
      </c>
      <c r="M135" s="9">
        <v>0.5</v>
      </c>
      <c r="N135" s="9">
        <v>1.5</v>
      </c>
      <c r="O135" s="9">
        <f t="shared" si="82"/>
        <v>1.75</v>
      </c>
      <c r="P135" s="9">
        <v>1.1499999999999999</v>
      </c>
      <c r="Q135" s="9">
        <v>1</v>
      </c>
      <c r="R135" s="9">
        <v>0.05</v>
      </c>
      <c r="S135" s="9">
        <f t="shared" si="80"/>
        <v>447.25027199999988</v>
      </c>
      <c r="T135" s="9"/>
      <c r="U135" s="10"/>
      <c r="V135" s="10"/>
    </row>
    <row r="139" spans="1:22" ht="14.5" thickBot="1" x14ac:dyDescent="0.35"/>
    <row r="140" spans="1:22" x14ac:dyDescent="0.3">
      <c r="A140" s="15" t="s">
        <v>68</v>
      </c>
      <c r="B140" s="16"/>
      <c r="C140" s="16"/>
      <c r="D140" s="17"/>
      <c r="E140" s="4"/>
      <c r="F140" s="4" t="s">
        <v>4</v>
      </c>
      <c r="G140" s="4" t="s">
        <v>1</v>
      </c>
      <c r="H140" s="4" t="s">
        <v>5</v>
      </c>
      <c r="I140" s="4" t="s">
        <v>6</v>
      </c>
      <c r="J140" s="4" t="s">
        <v>7</v>
      </c>
      <c r="K140" s="4" t="s">
        <v>8</v>
      </c>
      <c r="L140" s="4" t="s">
        <v>2</v>
      </c>
      <c r="M140" s="4" t="s">
        <v>18</v>
      </c>
      <c r="N140" s="4" t="s">
        <v>9</v>
      </c>
      <c r="O140" s="4" t="s">
        <v>10</v>
      </c>
      <c r="P140" s="4" t="s">
        <v>0</v>
      </c>
      <c r="Q140" s="4" t="s">
        <v>11</v>
      </c>
      <c r="R140" s="4" t="s">
        <v>12</v>
      </c>
      <c r="S140" s="4" t="s">
        <v>13</v>
      </c>
      <c r="T140" s="4" t="s">
        <v>14</v>
      </c>
      <c r="U140" s="4" t="s">
        <v>15</v>
      </c>
      <c r="V140" s="5" t="s">
        <v>16</v>
      </c>
    </row>
    <row r="141" spans="1:22" x14ac:dyDescent="0.3">
      <c r="A141" s="18" t="s">
        <v>27</v>
      </c>
      <c r="B141" s="1" t="s">
        <v>25</v>
      </c>
      <c r="C141" s="1" t="s">
        <v>26</v>
      </c>
      <c r="D141" s="1" t="s">
        <v>28</v>
      </c>
      <c r="F141" t="s">
        <v>17</v>
      </c>
      <c r="G141">
        <f>3199+488+203+427</f>
        <v>4317</v>
      </c>
      <c r="H141">
        <v>2.4224999999999999</v>
      </c>
      <c r="I141">
        <v>1.28</v>
      </c>
      <c r="J141">
        <v>1</v>
      </c>
      <c r="K141">
        <f>G141*H141*I141*J141</f>
        <v>13386.1536</v>
      </c>
      <c r="L141">
        <v>200</v>
      </c>
      <c r="M141">
        <v>2.68</v>
      </c>
      <c r="N141">
        <f>1+6*L141/(L141+2000)+M141</f>
        <v>4.2254545454545456</v>
      </c>
      <c r="O141">
        <v>0</v>
      </c>
      <c r="P141">
        <v>0.85</v>
      </c>
      <c r="Q141">
        <v>2.62</v>
      </c>
      <c r="R141">
        <f>1+P141*Q141</f>
        <v>3.2269999999999999</v>
      </c>
      <c r="S141">
        <v>1.25</v>
      </c>
      <c r="T141">
        <v>1</v>
      </c>
      <c r="U141">
        <f>(K141*N141+O141)*R141*S141*T141</f>
        <v>228159.32149675634</v>
      </c>
      <c r="V141" s="7">
        <f>SUM(U141:U155)</f>
        <v>3919532.2150845532</v>
      </c>
    </row>
    <row r="142" spans="1:22" x14ac:dyDescent="0.3">
      <c r="A142" s="18"/>
      <c r="B142" s="1">
        <f>B144+B146+B148</f>
        <v>5756164.4447685974</v>
      </c>
      <c r="C142" s="1">
        <f>B142/D142</f>
        <v>267728.57882644638</v>
      </c>
      <c r="D142" s="1">
        <v>21.5</v>
      </c>
      <c r="F142" t="s">
        <v>17</v>
      </c>
      <c r="G142">
        <f t="shared" ref="G142:G149" si="83">3199+488+203+427</f>
        <v>4317</v>
      </c>
      <c r="H142">
        <v>2.4224999999999999</v>
      </c>
      <c r="I142">
        <v>1.28</v>
      </c>
      <c r="J142">
        <v>1</v>
      </c>
      <c r="K142">
        <f t="shared" ref="K142:K148" si="84">G142*H142*I142*J142</f>
        <v>13386.1536</v>
      </c>
      <c r="L142">
        <v>200</v>
      </c>
      <c r="M142">
        <v>2.68</v>
      </c>
      <c r="N142">
        <f t="shared" ref="N142:N148" si="85">1+6*L142/(L142+2000)+M142</f>
        <v>4.2254545454545456</v>
      </c>
      <c r="O142">
        <v>0</v>
      </c>
      <c r="P142">
        <v>0.85</v>
      </c>
      <c r="Q142">
        <v>2.82</v>
      </c>
      <c r="R142">
        <f t="shared" ref="R142:R148" si="86">1+P142*Q142</f>
        <v>3.3969999999999998</v>
      </c>
      <c r="S142">
        <v>1.25</v>
      </c>
      <c r="T142">
        <v>1</v>
      </c>
      <c r="U142">
        <f t="shared" ref="U142:U148" si="87">(K142*N142+O142)*R142*S142*T142</f>
        <v>240178.87050650181</v>
      </c>
      <c r="V142" s="7"/>
    </row>
    <row r="143" spans="1:22" x14ac:dyDescent="0.3">
      <c r="A143" s="18"/>
      <c r="B143" s="1" t="s">
        <v>29</v>
      </c>
      <c r="C143" s="1" t="s">
        <v>30</v>
      </c>
      <c r="D143" s="1"/>
      <c r="F143" t="s">
        <v>17</v>
      </c>
      <c r="G143">
        <f t="shared" si="83"/>
        <v>4317</v>
      </c>
      <c r="H143">
        <v>2.4224999999999999</v>
      </c>
      <c r="I143">
        <v>1.28</v>
      </c>
      <c r="J143">
        <v>1</v>
      </c>
      <c r="K143">
        <f t="shared" si="84"/>
        <v>13386.1536</v>
      </c>
      <c r="L143">
        <v>200</v>
      </c>
      <c r="M143">
        <v>2.68</v>
      </c>
      <c r="N143">
        <f t="shared" si="85"/>
        <v>4.2254545454545456</v>
      </c>
      <c r="O143">
        <v>0</v>
      </c>
      <c r="P143">
        <v>0.85</v>
      </c>
      <c r="Q143">
        <v>3.02</v>
      </c>
      <c r="R143">
        <f t="shared" si="86"/>
        <v>3.5669999999999997</v>
      </c>
      <c r="S143">
        <v>1.25</v>
      </c>
      <c r="T143">
        <v>1</v>
      </c>
      <c r="U143">
        <f t="shared" si="87"/>
        <v>252198.41951624726</v>
      </c>
      <c r="V143" s="7"/>
    </row>
    <row r="144" spans="1:22" x14ac:dyDescent="0.3">
      <c r="A144" s="18"/>
      <c r="B144" s="1">
        <f>V141+T158</f>
        <v>4425187.7721167486</v>
      </c>
      <c r="C144" s="2">
        <f>B144/B142</f>
        <v>0.76877368855202066</v>
      </c>
      <c r="D144" s="1"/>
      <c r="F144" t="s">
        <v>17</v>
      </c>
      <c r="G144">
        <f t="shared" si="83"/>
        <v>4317</v>
      </c>
      <c r="H144">
        <v>2.4224999999999999</v>
      </c>
      <c r="I144">
        <v>1.28</v>
      </c>
      <c r="J144">
        <v>1</v>
      </c>
      <c r="K144">
        <f t="shared" si="84"/>
        <v>13386.1536</v>
      </c>
      <c r="L144">
        <v>200</v>
      </c>
      <c r="M144">
        <v>2.68</v>
      </c>
      <c r="N144">
        <f t="shared" si="85"/>
        <v>4.2254545454545456</v>
      </c>
      <c r="O144">
        <v>0</v>
      </c>
      <c r="P144">
        <v>0.85</v>
      </c>
      <c r="Q144">
        <v>3.22</v>
      </c>
      <c r="R144">
        <f t="shared" si="86"/>
        <v>3.7370000000000001</v>
      </c>
      <c r="S144">
        <v>1.25</v>
      </c>
      <c r="T144">
        <v>1</v>
      </c>
      <c r="U144">
        <f t="shared" si="87"/>
        <v>264217.96852599271</v>
      </c>
      <c r="V144" s="7"/>
    </row>
    <row r="145" spans="1:22" x14ac:dyDescent="0.3">
      <c r="A145" s="18"/>
      <c r="B145" s="1" t="s">
        <v>31</v>
      </c>
      <c r="C145" s="2" t="s">
        <v>30</v>
      </c>
      <c r="D145" s="1"/>
      <c r="F145" t="s">
        <v>17</v>
      </c>
      <c r="G145">
        <f t="shared" si="83"/>
        <v>4317</v>
      </c>
      <c r="H145">
        <v>2.4224999999999999</v>
      </c>
      <c r="I145">
        <v>1.28</v>
      </c>
      <c r="J145">
        <v>1</v>
      </c>
      <c r="K145">
        <f t="shared" si="84"/>
        <v>13386.1536</v>
      </c>
      <c r="L145">
        <v>200</v>
      </c>
      <c r="M145">
        <v>2.68</v>
      </c>
      <c r="N145">
        <f t="shared" si="85"/>
        <v>4.2254545454545456</v>
      </c>
      <c r="O145">
        <v>0</v>
      </c>
      <c r="P145">
        <v>0.85</v>
      </c>
      <c r="Q145">
        <v>3.22</v>
      </c>
      <c r="R145">
        <f t="shared" si="86"/>
        <v>3.7370000000000001</v>
      </c>
      <c r="S145">
        <v>1.25</v>
      </c>
      <c r="T145">
        <v>1</v>
      </c>
      <c r="U145">
        <f t="shared" si="87"/>
        <v>264217.96852599271</v>
      </c>
      <c r="V145" s="7"/>
    </row>
    <row r="146" spans="1:22" x14ac:dyDescent="0.3">
      <c r="A146" s="18"/>
      <c r="B146" s="1">
        <f>V166+T179</f>
        <v>1096787.15638091</v>
      </c>
      <c r="C146" s="2">
        <f>B146/B142</f>
        <v>0.19054131738326349</v>
      </c>
      <c r="D146" s="1"/>
      <c r="F146" t="s">
        <v>17</v>
      </c>
      <c r="G146">
        <f t="shared" si="83"/>
        <v>4317</v>
      </c>
      <c r="H146">
        <v>2.4224999999999999</v>
      </c>
      <c r="I146">
        <v>1.28</v>
      </c>
      <c r="J146">
        <v>1</v>
      </c>
      <c r="K146">
        <f t="shared" si="84"/>
        <v>13386.1536</v>
      </c>
      <c r="L146">
        <v>200</v>
      </c>
      <c r="M146">
        <v>2.68</v>
      </c>
      <c r="N146">
        <f t="shared" si="85"/>
        <v>4.2254545454545456</v>
      </c>
      <c r="O146">
        <v>0</v>
      </c>
      <c r="P146">
        <v>0.85</v>
      </c>
      <c r="Q146">
        <v>3.22</v>
      </c>
      <c r="R146">
        <f t="shared" si="86"/>
        <v>3.7370000000000001</v>
      </c>
      <c r="S146">
        <v>1.25</v>
      </c>
      <c r="T146">
        <v>1</v>
      </c>
      <c r="U146">
        <f t="shared" si="87"/>
        <v>264217.96852599271</v>
      </c>
      <c r="V146" s="7"/>
    </row>
    <row r="147" spans="1:22" x14ac:dyDescent="0.3">
      <c r="A147" s="18"/>
      <c r="B147" s="1" t="s">
        <v>50</v>
      </c>
      <c r="C147" s="2" t="s">
        <v>30</v>
      </c>
      <c r="D147" s="1"/>
      <c r="F147" s="6" t="s">
        <v>20</v>
      </c>
      <c r="G147">
        <f t="shared" si="83"/>
        <v>4317</v>
      </c>
      <c r="H147">
        <v>5.9543999999999997</v>
      </c>
      <c r="I147">
        <v>1.28</v>
      </c>
      <c r="J147">
        <v>2</v>
      </c>
      <c r="K147">
        <f t="shared" si="84"/>
        <v>65805.170687999998</v>
      </c>
      <c r="L147">
        <v>200</v>
      </c>
      <c r="M147">
        <v>2.68</v>
      </c>
      <c r="N147">
        <f t="shared" si="85"/>
        <v>4.2254545454545456</v>
      </c>
      <c r="O147">
        <v>0</v>
      </c>
      <c r="P147">
        <v>0.85</v>
      </c>
      <c r="Q147">
        <v>2.2200000000000002</v>
      </c>
      <c r="R147">
        <f t="shared" si="86"/>
        <v>2.887</v>
      </c>
      <c r="S147">
        <v>1.25</v>
      </c>
      <c r="T147">
        <v>1</v>
      </c>
      <c r="U147">
        <f t="shared" si="87"/>
        <v>1003437.3239818612</v>
      </c>
      <c r="V147" s="7"/>
    </row>
    <row r="148" spans="1:22" x14ac:dyDescent="0.3">
      <c r="A148" s="18"/>
      <c r="B148" s="1">
        <f>U184+U190+U196+U202</f>
        <v>234189.51627093813</v>
      </c>
      <c r="C148" s="2">
        <f>B148/B142</f>
        <v>4.0684994064715735E-2</v>
      </c>
      <c r="D148" s="1"/>
      <c r="F148" s="6" t="s">
        <v>19</v>
      </c>
      <c r="G148">
        <f t="shared" si="83"/>
        <v>4317</v>
      </c>
      <c r="H148">
        <v>0.58320000000000005</v>
      </c>
      <c r="I148">
        <v>1.28</v>
      </c>
      <c r="J148">
        <v>4</v>
      </c>
      <c r="K148">
        <f t="shared" si="84"/>
        <v>12890.492928000001</v>
      </c>
      <c r="L148">
        <v>200</v>
      </c>
      <c r="M148">
        <v>2.68</v>
      </c>
      <c r="N148">
        <f t="shared" si="85"/>
        <v>4.2254545454545456</v>
      </c>
      <c r="O148">
        <v>0</v>
      </c>
      <c r="P148">
        <v>0.85</v>
      </c>
      <c r="Q148">
        <v>2.2200000000000002</v>
      </c>
      <c r="R148">
        <f t="shared" si="86"/>
        <v>2.887</v>
      </c>
      <c r="S148">
        <v>1.25</v>
      </c>
      <c r="T148">
        <v>1</v>
      </c>
      <c r="U148">
        <f t="shared" si="87"/>
        <v>196562.08764820016</v>
      </c>
      <c r="V148" s="7"/>
    </row>
    <row r="149" spans="1:22" x14ac:dyDescent="0.3">
      <c r="A149" s="6"/>
      <c r="F149" t="s">
        <v>17</v>
      </c>
      <c r="G149">
        <f t="shared" si="83"/>
        <v>4317</v>
      </c>
      <c r="H149">
        <v>2.4224999999999999</v>
      </c>
      <c r="I149">
        <v>1.28</v>
      </c>
      <c r="J149">
        <v>1</v>
      </c>
      <c r="K149">
        <f>G149*H149*I149*J149</f>
        <v>13386.1536</v>
      </c>
      <c r="L149">
        <v>200</v>
      </c>
      <c r="M149">
        <v>2.68</v>
      </c>
      <c r="N149">
        <f>1+6*L149/(L149+2000)+M149</f>
        <v>4.2254545454545456</v>
      </c>
      <c r="O149">
        <v>0</v>
      </c>
      <c r="P149">
        <v>0.85</v>
      </c>
      <c r="Q149">
        <v>2.62</v>
      </c>
      <c r="R149">
        <f>1+P149*Q149</f>
        <v>3.2269999999999999</v>
      </c>
      <c r="S149">
        <v>1.05</v>
      </c>
      <c r="T149">
        <v>1</v>
      </c>
      <c r="U149">
        <f>(K149*N149+O149)*R149*S149*T149</f>
        <v>191653.83005727534</v>
      </c>
      <c r="V149" s="7"/>
    </row>
    <row r="150" spans="1:22" x14ac:dyDescent="0.3">
      <c r="A150" s="6"/>
      <c r="F150" t="s">
        <v>17</v>
      </c>
      <c r="G150">
        <f>3199+203+427</f>
        <v>3829</v>
      </c>
      <c r="H150">
        <v>2.4224999999999999</v>
      </c>
      <c r="I150">
        <v>1.28</v>
      </c>
      <c r="J150">
        <v>1</v>
      </c>
      <c r="K150">
        <f t="shared" ref="K150:K155" si="88">G150*H150*I150*J150</f>
        <v>11872.963199999998</v>
      </c>
      <c r="L150">
        <v>200</v>
      </c>
      <c r="M150">
        <v>2.68</v>
      </c>
      <c r="N150">
        <f t="shared" ref="N150:N155" si="89">1+6*L150/(L150+2000)+M150</f>
        <v>4.2254545454545456</v>
      </c>
      <c r="O150">
        <v>0</v>
      </c>
      <c r="P150">
        <v>0.85</v>
      </c>
      <c r="Q150">
        <v>2.82</v>
      </c>
      <c r="R150">
        <f t="shared" ref="R150:R155" si="90">1+P150*Q150</f>
        <v>3.3969999999999998</v>
      </c>
      <c r="S150">
        <v>1.05</v>
      </c>
      <c r="T150">
        <v>1</v>
      </c>
      <c r="U150">
        <f t="shared" ref="U150:U155" si="91">(K150*N150+O150)*R150*S150*T150</f>
        <v>178944.10746868013</v>
      </c>
      <c r="V150" s="7"/>
    </row>
    <row r="151" spans="1:22" x14ac:dyDescent="0.3">
      <c r="A151" s="6"/>
      <c r="F151" t="s">
        <v>17</v>
      </c>
      <c r="G151">
        <f t="shared" ref="G151:G152" si="92">3199+203+427</f>
        <v>3829</v>
      </c>
      <c r="H151">
        <v>2.4224999999999999</v>
      </c>
      <c r="I151">
        <v>1.28</v>
      </c>
      <c r="J151">
        <v>1</v>
      </c>
      <c r="K151">
        <f t="shared" si="88"/>
        <v>11872.963199999998</v>
      </c>
      <c r="L151">
        <v>200</v>
      </c>
      <c r="M151">
        <v>2.68</v>
      </c>
      <c r="N151">
        <f t="shared" si="89"/>
        <v>4.2254545454545456</v>
      </c>
      <c r="O151">
        <v>0</v>
      </c>
      <c r="P151">
        <v>0.85</v>
      </c>
      <c r="Q151">
        <v>3.02</v>
      </c>
      <c r="R151">
        <f t="shared" si="90"/>
        <v>3.5669999999999997</v>
      </c>
      <c r="S151">
        <v>1.05</v>
      </c>
      <c r="T151">
        <v>1</v>
      </c>
      <c r="U151">
        <f t="shared" si="91"/>
        <v>187899.21440705977</v>
      </c>
      <c r="V151" s="7"/>
    </row>
    <row r="152" spans="1:22" x14ac:dyDescent="0.3">
      <c r="A152" s="6"/>
      <c r="F152" t="s">
        <v>17</v>
      </c>
      <c r="G152">
        <f t="shared" si="92"/>
        <v>3829</v>
      </c>
      <c r="H152">
        <v>2.4224999999999999</v>
      </c>
      <c r="I152">
        <v>1.28</v>
      </c>
      <c r="J152">
        <v>1</v>
      </c>
      <c r="K152">
        <f t="shared" si="88"/>
        <v>11872.963199999998</v>
      </c>
      <c r="L152">
        <v>200</v>
      </c>
      <c r="M152">
        <v>2.68</v>
      </c>
      <c r="N152">
        <f t="shared" si="89"/>
        <v>4.2254545454545456</v>
      </c>
      <c r="O152">
        <v>0</v>
      </c>
      <c r="P152">
        <v>0.85</v>
      </c>
      <c r="Q152">
        <v>3.22</v>
      </c>
      <c r="R152">
        <f t="shared" si="90"/>
        <v>3.7370000000000001</v>
      </c>
      <c r="S152">
        <v>1.05</v>
      </c>
      <c r="T152">
        <v>1</v>
      </c>
      <c r="U152">
        <f t="shared" si="91"/>
        <v>196854.32134543941</v>
      </c>
      <c r="V152" s="7"/>
    </row>
    <row r="153" spans="1:22" x14ac:dyDescent="0.3">
      <c r="A153" s="6"/>
      <c r="F153" t="s">
        <v>17</v>
      </c>
      <c r="G153">
        <f>3199+427</f>
        <v>3626</v>
      </c>
      <c r="H153">
        <v>2.4224999999999999</v>
      </c>
      <c r="I153">
        <v>1.28</v>
      </c>
      <c r="J153">
        <v>1</v>
      </c>
      <c r="K153">
        <f t="shared" si="88"/>
        <v>11243.500799999998</v>
      </c>
      <c r="L153">
        <v>200</v>
      </c>
      <c r="M153">
        <v>2.1800000000000002</v>
      </c>
      <c r="N153">
        <f t="shared" si="89"/>
        <v>3.7254545454545456</v>
      </c>
      <c r="O153">
        <v>0</v>
      </c>
      <c r="P153">
        <v>0.85</v>
      </c>
      <c r="Q153">
        <v>3.22</v>
      </c>
      <c r="R153">
        <f t="shared" si="90"/>
        <v>3.7370000000000001</v>
      </c>
      <c r="S153">
        <v>1.05</v>
      </c>
      <c r="T153">
        <v>1</v>
      </c>
      <c r="U153">
        <f t="shared" si="91"/>
        <v>164358.89808772711</v>
      </c>
      <c r="V153" s="7"/>
    </row>
    <row r="154" spans="1:22" x14ac:dyDescent="0.3">
      <c r="A154" s="6"/>
      <c r="F154" t="s">
        <v>17</v>
      </c>
      <c r="G154">
        <f t="shared" ref="G154:G155" si="93">3199+427</f>
        <v>3626</v>
      </c>
      <c r="H154">
        <v>2.4224999999999999</v>
      </c>
      <c r="I154">
        <v>1.28</v>
      </c>
      <c r="J154">
        <v>1</v>
      </c>
      <c r="K154">
        <f t="shared" si="88"/>
        <v>11243.500799999998</v>
      </c>
      <c r="L154">
        <v>200</v>
      </c>
      <c r="M154">
        <v>2.1800000000000002</v>
      </c>
      <c r="N154">
        <f t="shared" si="89"/>
        <v>3.7254545454545456</v>
      </c>
      <c r="O154">
        <v>0</v>
      </c>
      <c r="P154">
        <v>0.85</v>
      </c>
      <c r="Q154">
        <v>3.22</v>
      </c>
      <c r="R154">
        <f t="shared" si="90"/>
        <v>3.7370000000000001</v>
      </c>
      <c r="S154">
        <v>1.05</v>
      </c>
      <c r="T154">
        <v>1</v>
      </c>
      <c r="U154">
        <f t="shared" si="91"/>
        <v>164358.89808772711</v>
      </c>
      <c r="V154" s="7"/>
    </row>
    <row r="155" spans="1:22" x14ac:dyDescent="0.3">
      <c r="A155" s="6"/>
      <c r="F155" s="6" t="s">
        <v>19</v>
      </c>
      <c r="G155">
        <f t="shared" si="93"/>
        <v>3626</v>
      </c>
      <c r="H155">
        <v>0.58320000000000005</v>
      </c>
      <c r="I155">
        <v>1.28</v>
      </c>
      <c r="J155">
        <v>4</v>
      </c>
      <c r="K155">
        <f t="shared" si="88"/>
        <v>10827.177984000002</v>
      </c>
      <c r="L155">
        <v>200</v>
      </c>
      <c r="M155">
        <v>2.1800000000000002</v>
      </c>
      <c r="N155">
        <f t="shared" si="89"/>
        <v>3.7254545454545456</v>
      </c>
      <c r="O155">
        <v>0</v>
      </c>
      <c r="P155">
        <v>0.85</v>
      </c>
      <c r="Q155">
        <v>2.2200000000000002</v>
      </c>
      <c r="R155">
        <f t="shared" si="90"/>
        <v>2.887</v>
      </c>
      <c r="S155">
        <v>1.05</v>
      </c>
      <c r="T155">
        <v>1</v>
      </c>
      <c r="U155">
        <f t="shared" si="91"/>
        <v>122273.01690309989</v>
      </c>
      <c r="V155" s="7"/>
    </row>
    <row r="156" spans="1:22" x14ac:dyDescent="0.3">
      <c r="A156" s="6"/>
      <c r="V156" s="7"/>
    </row>
    <row r="157" spans="1:22" x14ac:dyDescent="0.3">
      <c r="A157" s="6"/>
      <c r="G157" t="s">
        <v>1</v>
      </c>
      <c r="H157" t="s">
        <v>5</v>
      </c>
      <c r="I157" t="s">
        <v>7</v>
      </c>
      <c r="J157" t="s">
        <v>7</v>
      </c>
      <c r="K157" t="s">
        <v>8</v>
      </c>
      <c r="L157" t="s">
        <v>22</v>
      </c>
      <c r="M157" t="s">
        <v>0</v>
      </c>
      <c r="N157" t="s">
        <v>11</v>
      </c>
      <c r="O157" t="s">
        <v>12</v>
      </c>
      <c r="P157" t="s">
        <v>13</v>
      </c>
      <c r="Q157" t="s">
        <v>15</v>
      </c>
      <c r="R157" t="s">
        <v>23</v>
      </c>
      <c r="S157" t="s">
        <v>24</v>
      </c>
      <c r="T157" t="s">
        <v>16</v>
      </c>
      <c r="V157" s="7"/>
    </row>
    <row r="158" spans="1:22" x14ac:dyDescent="0.3">
      <c r="A158" s="6"/>
      <c r="G158">
        <f>G145</f>
        <v>4317</v>
      </c>
      <c r="H158">
        <v>0.85</v>
      </c>
      <c r="I158">
        <v>1</v>
      </c>
      <c r="J158">
        <v>1</v>
      </c>
      <c r="K158">
        <f>G158*H158*I158*J158</f>
        <v>3669.45</v>
      </c>
      <c r="L158">
        <v>1</v>
      </c>
      <c r="M158">
        <v>0.85</v>
      </c>
      <c r="N158">
        <v>2.2200000000000002</v>
      </c>
      <c r="O158">
        <f>1+M158*N158</f>
        <v>2.887</v>
      </c>
      <c r="P158">
        <v>1.25</v>
      </c>
      <c r="Q158">
        <f>K158*L158*O158*P158</f>
        <v>13242.127687499999</v>
      </c>
      <c r="R158">
        <v>18</v>
      </c>
      <c r="S158">
        <f>Q158*R158</f>
        <v>238358.29837499998</v>
      </c>
      <c r="T158">
        <f>SUM(S158:S164)</f>
        <v>505655.55703219498</v>
      </c>
      <c r="V158" s="7"/>
    </row>
    <row r="159" spans="1:22" x14ac:dyDescent="0.3">
      <c r="A159" s="6"/>
      <c r="G159">
        <f>G147</f>
        <v>4317</v>
      </c>
      <c r="H159">
        <v>1.5879000000000001</v>
      </c>
      <c r="I159">
        <v>3</v>
      </c>
      <c r="J159">
        <v>1</v>
      </c>
      <c r="K159">
        <f t="shared" ref="K159:K160" si="94">G159*H159*I159*J159</f>
        <v>20564.892900000003</v>
      </c>
      <c r="L159">
        <v>1</v>
      </c>
      <c r="M159">
        <v>0.85</v>
      </c>
      <c r="N159">
        <v>2.2200000000000002</v>
      </c>
      <c r="O159">
        <f t="shared" ref="O159:O160" si="95">1+M159*N159</f>
        <v>2.887</v>
      </c>
      <c r="P159">
        <v>1.25</v>
      </c>
      <c r="Q159">
        <f t="shared" ref="Q159:Q160" si="96">K159*L159*O159*P159</f>
        <v>74213.557252875005</v>
      </c>
      <c r="R159">
        <v>1</v>
      </c>
      <c r="S159">
        <f t="shared" ref="S159:S160" si="97">Q159*R159</f>
        <v>74213.557252875005</v>
      </c>
      <c r="V159" s="7"/>
    </row>
    <row r="160" spans="1:22" x14ac:dyDescent="0.3">
      <c r="A160" s="6"/>
      <c r="G160">
        <f>G148</f>
        <v>4317</v>
      </c>
      <c r="H160">
        <v>0.58320000000000005</v>
      </c>
      <c r="I160">
        <v>1</v>
      </c>
      <c r="J160">
        <v>1</v>
      </c>
      <c r="K160">
        <f t="shared" si="94"/>
        <v>2517.6744000000003</v>
      </c>
      <c r="L160">
        <v>1</v>
      </c>
      <c r="M160">
        <v>0.85</v>
      </c>
      <c r="N160">
        <v>2.2200000000000002</v>
      </c>
      <c r="O160">
        <f t="shared" si="95"/>
        <v>2.887</v>
      </c>
      <c r="P160">
        <v>1.25</v>
      </c>
      <c r="Q160">
        <f t="shared" si="96"/>
        <v>9085.6574910000018</v>
      </c>
      <c r="R160">
        <v>1</v>
      </c>
      <c r="S160">
        <f t="shared" si="97"/>
        <v>9085.6574910000018</v>
      </c>
      <c r="V160" s="7"/>
    </row>
    <row r="161" spans="1:22" x14ac:dyDescent="0.3">
      <c r="A161" s="6"/>
      <c r="G161">
        <f>G151</f>
        <v>3829</v>
      </c>
      <c r="H161">
        <v>0.85</v>
      </c>
      <c r="I161">
        <v>1</v>
      </c>
      <c r="J161">
        <v>1</v>
      </c>
      <c r="K161">
        <f>G161*H161*I161*J161</f>
        <v>3254.65</v>
      </c>
      <c r="L161">
        <v>1</v>
      </c>
      <c r="M161">
        <v>0.85</v>
      </c>
      <c r="N161">
        <v>2.2200000000000002</v>
      </c>
      <c r="O161">
        <f>1+M161*N161</f>
        <v>2.887</v>
      </c>
      <c r="P161">
        <v>1.05</v>
      </c>
      <c r="Q161">
        <f>K161*L161*O161*P161</f>
        <v>9865.9832774999995</v>
      </c>
      <c r="R161">
        <v>18</v>
      </c>
      <c r="S161">
        <f>Q161*R161</f>
        <v>177587.69899499998</v>
      </c>
      <c r="V161" s="7"/>
    </row>
    <row r="162" spans="1:22" x14ac:dyDescent="0.3">
      <c r="A162" s="6"/>
      <c r="G162">
        <f>G155</f>
        <v>3626</v>
      </c>
      <c r="H162">
        <v>0.58320000000000005</v>
      </c>
      <c r="I162">
        <v>1</v>
      </c>
      <c r="J162">
        <v>1</v>
      </c>
      <c r="K162">
        <f t="shared" ref="K162" si="98">G162*H162*I162*J162</f>
        <v>2114.6832000000004</v>
      </c>
      <c r="L162">
        <v>1</v>
      </c>
      <c r="M162">
        <v>0.85</v>
      </c>
      <c r="N162">
        <v>2.2200000000000002</v>
      </c>
      <c r="O162">
        <f t="shared" ref="O162" si="99">1+M162*N162</f>
        <v>2.887</v>
      </c>
      <c r="P162">
        <v>1.05</v>
      </c>
      <c r="Q162">
        <f t="shared" ref="Q162" si="100">K162*L162*O162*P162</f>
        <v>6410.3449183200019</v>
      </c>
      <c r="R162">
        <v>1</v>
      </c>
      <c r="S162">
        <f t="shared" ref="S162" si="101">Q162*R162</f>
        <v>6410.3449183200019</v>
      </c>
      <c r="V162" s="7"/>
    </row>
    <row r="163" spans="1:22" ht="14.5" thickBot="1" x14ac:dyDescent="0.35">
      <c r="A163" s="6"/>
      <c r="V163" s="7"/>
    </row>
    <row r="164" spans="1:22" x14ac:dyDescent="0.3">
      <c r="A164" s="6"/>
      <c r="F164" s="19" t="s">
        <v>3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1"/>
    </row>
    <row r="165" spans="1:22" x14ac:dyDescent="0.3">
      <c r="A165" s="6"/>
      <c r="F165" s="6" t="s">
        <v>4</v>
      </c>
      <c r="G165" t="s">
        <v>1</v>
      </c>
      <c r="H165" t="s">
        <v>5</v>
      </c>
      <c r="I165" t="s">
        <v>6</v>
      </c>
      <c r="J165" t="s">
        <v>7</v>
      </c>
      <c r="K165" t="s">
        <v>8</v>
      </c>
      <c r="L165" t="s">
        <v>2</v>
      </c>
      <c r="M165" t="s">
        <v>18</v>
      </c>
      <c r="N165" t="s">
        <v>9</v>
      </c>
      <c r="O165" t="s">
        <v>10</v>
      </c>
      <c r="P165" t="s">
        <v>0</v>
      </c>
      <c r="Q165" t="s">
        <v>11</v>
      </c>
      <c r="R165" t="s">
        <v>12</v>
      </c>
      <c r="S165" t="s">
        <v>13</v>
      </c>
      <c r="T165" t="s">
        <v>14</v>
      </c>
      <c r="U165" t="s">
        <v>15</v>
      </c>
      <c r="V165" s="7" t="s">
        <v>16</v>
      </c>
    </row>
    <row r="166" spans="1:22" x14ac:dyDescent="0.3">
      <c r="A166" s="6"/>
      <c r="F166" s="6" t="s">
        <v>32</v>
      </c>
      <c r="G166">
        <f>2604+396</f>
        <v>3000</v>
      </c>
      <c r="H166">
        <v>8.2554999999999996</v>
      </c>
      <c r="I166">
        <v>1.28</v>
      </c>
      <c r="J166">
        <v>1.3</v>
      </c>
      <c r="K166">
        <f>G166*H166*I166*J166</f>
        <v>41211.455999999998</v>
      </c>
      <c r="L166">
        <v>20</v>
      </c>
      <c r="M166">
        <v>1.4</v>
      </c>
      <c r="N166">
        <f>1+6*L166/(L166+2000)+M166</f>
        <v>2.4594059405940594</v>
      </c>
      <c r="O166">
        <v>0</v>
      </c>
      <c r="P166">
        <v>0.93</v>
      </c>
      <c r="Q166">
        <v>2.2999999999999998</v>
      </c>
      <c r="R166">
        <f>1+P166*Q166</f>
        <v>3.1389999999999998</v>
      </c>
      <c r="S166">
        <v>1.05</v>
      </c>
      <c r="T166">
        <v>1</v>
      </c>
      <c r="U166">
        <f>(K166*N166+O166)*R166*S166*T166</f>
        <v>334063.31844905816</v>
      </c>
      <c r="V166" s="7">
        <f>SUM(U166:U176)</f>
        <v>934626.28882764501</v>
      </c>
    </row>
    <row r="167" spans="1:22" x14ac:dyDescent="0.3">
      <c r="A167" s="6"/>
      <c r="F167" s="6"/>
      <c r="G167">
        <f>2604+396</f>
        <v>3000</v>
      </c>
      <c r="H167">
        <v>4.5</v>
      </c>
      <c r="I167">
        <v>2.2799999999999998</v>
      </c>
      <c r="J167">
        <v>1.3</v>
      </c>
      <c r="K167">
        <f>G167*H167*I167*J167</f>
        <v>40014</v>
      </c>
      <c r="L167">
        <v>20</v>
      </c>
      <c r="M167">
        <v>1.4</v>
      </c>
      <c r="N167">
        <f>1+6*L167/(L167+2000)+M167</f>
        <v>2.4594059405940594</v>
      </c>
      <c r="O167">
        <v>0</v>
      </c>
      <c r="P167">
        <v>0.93</v>
      </c>
      <c r="Q167">
        <v>2.2999999999999998</v>
      </c>
      <c r="R167">
        <f>1+P167*Q167</f>
        <v>3.1389999999999998</v>
      </c>
      <c r="S167">
        <v>1.05</v>
      </c>
      <c r="T167">
        <v>1</v>
      </c>
      <c r="U167">
        <f t="shared" ref="U167:U176" si="102">(K167*N167+O167)*R167*S167*T167</f>
        <v>324356.64550217823</v>
      </c>
      <c r="V167" s="7"/>
    </row>
    <row r="168" spans="1:22" x14ac:dyDescent="0.3">
      <c r="A168" s="6"/>
      <c r="F168" s="6" t="s">
        <v>33</v>
      </c>
      <c r="G168">
        <f>189+2604+264</f>
        <v>3057</v>
      </c>
      <c r="H168">
        <v>0.72950000000000004</v>
      </c>
      <c r="I168">
        <v>1.28</v>
      </c>
      <c r="J168">
        <v>1.3</v>
      </c>
      <c r="K168">
        <f t="shared" ref="K168:K176" si="103">G168*H168*I168*J168</f>
        <v>3710.8556160000007</v>
      </c>
      <c r="L168">
        <v>20</v>
      </c>
      <c r="M168">
        <v>1.6</v>
      </c>
      <c r="N168">
        <f t="shared" ref="N168:N176" si="104">1+6*L168/(L168+2000)+M168</f>
        <v>2.6594059405940595</v>
      </c>
      <c r="O168">
        <v>0</v>
      </c>
      <c r="P168">
        <v>0.93</v>
      </c>
      <c r="Q168">
        <v>2.2999999999999998</v>
      </c>
      <c r="R168">
        <f t="shared" ref="R168:R176" si="105">1+P168*Q168</f>
        <v>3.1389999999999998</v>
      </c>
      <c r="S168">
        <v>1.05</v>
      </c>
      <c r="T168">
        <v>1</v>
      </c>
      <c r="U168">
        <f t="shared" si="102"/>
        <v>32526.647731141857</v>
      </c>
      <c r="V168" s="7"/>
    </row>
    <row r="169" spans="1:22" x14ac:dyDescent="0.3">
      <c r="A169" s="6"/>
      <c r="F169" s="6" t="s">
        <v>34</v>
      </c>
      <c r="G169">
        <f t="shared" ref="G169:G175" si="106">189+2604</f>
        <v>2793</v>
      </c>
      <c r="H169">
        <v>0.87239999999999995</v>
      </c>
      <c r="I169">
        <v>1.28</v>
      </c>
      <c r="J169">
        <f t="shared" ref="J169:J175" si="107">17*0.015+1</f>
        <v>1.2549999999999999</v>
      </c>
      <c r="K169">
        <f t="shared" si="103"/>
        <v>3914.175444479999</v>
      </c>
      <c r="L169">
        <v>20</v>
      </c>
      <c r="M169">
        <v>1.3</v>
      </c>
      <c r="N169">
        <f t="shared" si="104"/>
        <v>2.3594059405940593</v>
      </c>
      <c r="O169">
        <v>0</v>
      </c>
      <c r="P169">
        <v>0.93</v>
      </c>
      <c r="Q169">
        <v>2.2999999999999998</v>
      </c>
      <c r="R169">
        <f t="shared" si="105"/>
        <v>3.1389999999999998</v>
      </c>
      <c r="S169">
        <v>1.25</v>
      </c>
      <c r="T169">
        <v>1</v>
      </c>
      <c r="U169">
        <f t="shared" si="102"/>
        <v>36236.336614221203</v>
      </c>
      <c r="V169" s="7"/>
    </row>
    <row r="170" spans="1:22" x14ac:dyDescent="0.3">
      <c r="A170" s="6"/>
      <c r="F170" s="6" t="s">
        <v>35</v>
      </c>
      <c r="G170">
        <f t="shared" si="106"/>
        <v>2793</v>
      </c>
      <c r="H170">
        <v>0.72950000000000004</v>
      </c>
      <c r="I170">
        <v>1.28</v>
      </c>
      <c r="J170">
        <f t="shared" si="107"/>
        <v>1.2549999999999999</v>
      </c>
      <c r="K170">
        <f t="shared" si="103"/>
        <v>3273.0295584</v>
      </c>
      <c r="L170">
        <v>20</v>
      </c>
      <c r="M170">
        <v>1.3</v>
      </c>
      <c r="N170">
        <f t="shared" si="104"/>
        <v>2.3594059405940593</v>
      </c>
      <c r="O170">
        <v>0</v>
      </c>
      <c r="P170">
        <v>0.93</v>
      </c>
      <c r="Q170">
        <v>2.2999999999999998</v>
      </c>
      <c r="R170">
        <f t="shared" si="105"/>
        <v>3.1389999999999998</v>
      </c>
      <c r="S170">
        <v>1.25</v>
      </c>
      <c r="T170">
        <v>1</v>
      </c>
      <c r="U170">
        <f t="shared" si="102"/>
        <v>30300.788124798688</v>
      </c>
      <c r="V170" s="7"/>
    </row>
    <row r="171" spans="1:22" x14ac:dyDescent="0.3">
      <c r="A171" s="6"/>
      <c r="F171" s="6" t="s">
        <v>36</v>
      </c>
      <c r="G171">
        <f t="shared" si="106"/>
        <v>2793</v>
      </c>
      <c r="H171">
        <v>0.87239999999999995</v>
      </c>
      <c r="I171">
        <v>1.28</v>
      </c>
      <c r="J171">
        <f t="shared" si="107"/>
        <v>1.2549999999999999</v>
      </c>
      <c r="K171">
        <f t="shared" si="103"/>
        <v>3914.175444479999</v>
      </c>
      <c r="L171">
        <v>20</v>
      </c>
      <c r="M171">
        <v>1.3</v>
      </c>
      <c r="N171">
        <f t="shared" si="104"/>
        <v>2.3594059405940593</v>
      </c>
      <c r="O171">
        <v>0</v>
      </c>
      <c r="P171">
        <v>0.93</v>
      </c>
      <c r="Q171">
        <v>2.2999999999999998</v>
      </c>
      <c r="R171">
        <f t="shared" si="105"/>
        <v>3.1389999999999998</v>
      </c>
      <c r="S171">
        <v>1.25</v>
      </c>
      <c r="T171">
        <v>1</v>
      </c>
      <c r="U171">
        <f t="shared" si="102"/>
        <v>36236.336614221203</v>
      </c>
      <c r="V171" s="7"/>
    </row>
    <row r="172" spans="1:22" x14ac:dyDescent="0.3">
      <c r="A172" s="6"/>
      <c r="F172" s="6" t="s">
        <v>37</v>
      </c>
      <c r="G172">
        <f t="shared" si="106"/>
        <v>2793</v>
      </c>
      <c r="H172">
        <v>0.72950000000000004</v>
      </c>
      <c r="I172">
        <v>1.28</v>
      </c>
      <c r="J172">
        <f t="shared" si="107"/>
        <v>1.2549999999999999</v>
      </c>
      <c r="K172">
        <f t="shared" si="103"/>
        <v>3273.0295584</v>
      </c>
      <c r="L172">
        <v>20</v>
      </c>
      <c r="M172">
        <v>1.3</v>
      </c>
      <c r="N172">
        <f t="shared" si="104"/>
        <v>2.3594059405940593</v>
      </c>
      <c r="O172">
        <v>0</v>
      </c>
      <c r="P172">
        <v>0.93</v>
      </c>
      <c r="Q172">
        <v>2.2999999999999998</v>
      </c>
      <c r="R172">
        <f t="shared" si="105"/>
        <v>3.1389999999999998</v>
      </c>
      <c r="S172">
        <v>1.25</v>
      </c>
      <c r="T172">
        <v>1</v>
      </c>
      <c r="U172">
        <f t="shared" si="102"/>
        <v>30300.788124798688</v>
      </c>
      <c r="V172" s="7"/>
    </row>
    <row r="173" spans="1:22" x14ac:dyDescent="0.3">
      <c r="A173" s="6"/>
      <c r="F173" s="6" t="s">
        <v>38</v>
      </c>
      <c r="G173">
        <f t="shared" si="106"/>
        <v>2793</v>
      </c>
      <c r="H173">
        <v>0.87239999999999995</v>
      </c>
      <c r="I173">
        <v>1.28</v>
      </c>
      <c r="J173">
        <f t="shared" si="107"/>
        <v>1.2549999999999999</v>
      </c>
      <c r="K173">
        <f t="shared" si="103"/>
        <v>3914.175444479999</v>
      </c>
      <c r="L173">
        <v>20</v>
      </c>
      <c r="M173">
        <v>1.3</v>
      </c>
      <c r="N173">
        <f t="shared" si="104"/>
        <v>2.3594059405940593</v>
      </c>
      <c r="O173">
        <v>0</v>
      </c>
      <c r="P173">
        <v>0.93</v>
      </c>
      <c r="Q173">
        <v>2.2999999999999998</v>
      </c>
      <c r="R173">
        <f t="shared" si="105"/>
        <v>3.1389999999999998</v>
      </c>
      <c r="S173">
        <v>1.25</v>
      </c>
      <c r="T173">
        <v>1</v>
      </c>
      <c r="U173">
        <f t="shared" si="102"/>
        <v>36236.336614221203</v>
      </c>
      <c r="V173" s="7"/>
    </row>
    <row r="174" spans="1:22" x14ac:dyDescent="0.3">
      <c r="A174" s="6"/>
      <c r="F174" s="6" t="s">
        <v>39</v>
      </c>
      <c r="G174">
        <f t="shared" si="106"/>
        <v>2793</v>
      </c>
      <c r="H174">
        <v>0.72950000000000004</v>
      </c>
      <c r="I174">
        <v>1.28</v>
      </c>
      <c r="J174">
        <f t="shared" si="107"/>
        <v>1.2549999999999999</v>
      </c>
      <c r="K174">
        <f t="shared" si="103"/>
        <v>3273.0295584</v>
      </c>
      <c r="L174">
        <v>20</v>
      </c>
      <c r="M174">
        <v>1.3</v>
      </c>
      <c r="N174">
        <f t="shared" si="104"/>
        <v>2.3594059405940593</v>
      </c>
      <c r="O174">
        <v>0</v>
      </c>
      <c r="P174">
        <v>0.93</v>
      </c>
      <c r="Q174">
        <v>2.2999999999999998</v>
      </c>
      <c r="R174">
        <f t="shared" si="105"/>
        <v>3.1389999999999998</v>
      </c>
      <c r="S174">
        <v>1.05</v>
      </c>
      <c r="T174">
        <v>1</v>
      </c>
      <c r="U174">
        <f t="shared" si="102"/>
        <v>25452.662024830897</v>
      </c>
      <c r="V174" s="7"/>
    </row>
    <row r="175" spans="1:22" x14ac:dyDescent="0.3">
      <c r="A175" s="6"/>
      <c r="F175" s="6" t="s">
        <v>40</v>
      </c>
      <c r="G175">
        <f t="shared" si="106"/>
        <v>2793</v>
      </c>
      <c r="H175">
        <v>0.87239999999999995</v>
      </c>
      <c r="I175">
        <v>1.28</v>
      </c>
      <c r="J175">
        <f t="shared" si="107"/>
        <v>1.2549999999999999</v>
      </c>
      <c r="K175">
        <f t="shared" si="103"/>
        <v>3914.175444479999</v>
      </c>
      <c r="L175">
        <v>20</v>
      </c>
      <c r="M175">
        <v>1.3</v>
      </c>
      <c r="N175">
        <f t="shared" si="104"/>
        <v>2.3594059405940593</v>
      </c>
      <c r="O175">
        <v>0</v>
      </c>
      <c r="P175">
        <v>0.93</v>
      </c>
      <c r="Q175">
        <v>2.2999999999999998</v>
      </c>
      <c r="R175">
        <f t="shared" si="105"/>
        <v>3.1389999999999998</v>
      </c>
      <c r="S175">
        <v>1.05</v>
      </c>
      <c r="T175">
        <v>1</v>
      </c>
      <c r="U175">
        <f t="shared" si="102"/>
        <v>30438.522755945814</v>
      </c>
      <c r="V175" s="7"/>
    </row>
    <row r="176" spans="1:22" x14ac:dyDescent="0.3">
      <c r="A176" s="6"/>
      <c r="F176" s="6" t="s">
        <v>41</v>
      </c>
      <c r="G176">
        <v>2604</v>
      </c>
      <c r="H176">
        <v>0.72950000000000004</v>
      </c>
      <c r="I176">
        <v>1.28</v>
      </c>
      <c r="J176">
        <v>1.24</v>
      </c>
      <c r="K176">
        <f t="shared" si="103"/>
        <v>3015.0736896000003</v>
      </c>
      <c r="L176">
        <v>20</v>
      </c>
      <c r="M176">
        <v>0.8</v>
      </c>
      <c r="N176">
        <f t="shared" si="104"/>
        <v>1.8594059405940595</v>
      </c>
      <c r="O176">
        <v>0</v>
      </c>
      <c r="P176">
        <v>0.93</v>
      </c>
      <c r="Q176">
        <v>2.2999999999999998</v>
      </c>
      <c r="R176">
        <f t="shared" si="105"/>
        <v>3.1389999999999998</v>
      </c>
      <c r="S176">
        <v>1.05</v>
      </c>
      <c r="T176">
        <v>1</v>
      </c>
      <c r="U176">
        <f t="shared" si="102"/>
        <v>18477.906272229025</v>
      </c>
      <c r="V176" s="7"/>
    </row>
    <row r="177" spans="1:22" x14ac:dyDescent="0.3">
      <c r="A177" s="6"/>
      <c r="F177" s="6"/>
      <c r="V177" s="7"/>
    </row>
    <row r="178" spans="1:22" x14ac:dyDescent="0.3">
      <c r="A178" s="6"/>
      <c r="F178" s="6"/>
      <c r="G178" t="s">
        <v>1</v>
      </c>
      <c r="H178" t="s">
        <v>5</v>
      </c>
      <c r="I178" t="s">
        <v>7</v>
      </c>
      <c r="J178" t="s">
        <v>7</v>
      </c>
      <c r="K178" t="s">
        <v>8</v>
      </c>
      <c r="L178" t="s">
        <v>22</v>
      </c>
      <c r="M178" t="s">
        <v>0</v>
      </c>
      <c r="N178" t="s">
        <v>11</v>
      </c>
      <c r="O178" t="s">
        <v>12</v>
      </c>
      <c r="P178" t="s">
        <v>13</v>
      </c>
      <c r="Q178" t="s">
        <v>15</v>
      </c>
      <c r="R178" t="s">
        <v>23</v>
      </c>
      <c r="S178" t="s">
        <v>24</v>
      </c>
      <c r="T178" t="s">
        <v>16</v>
      </c>
      <c r="V178" s="7"/>
    </row>
    <row r="179" spans="1:22" x14ac:dyDescent="0.3">
      <c r="A179" s="6"/>
      <c r="F179" s="6"/>
      <c r="G179">
        <f>G166</f>
        <v>3000</v>
      </c>
      <c r="H179">
        <v>1.9454</v>
      </c>
      <c r="I179">
        <v>1</v>
      </c>
      <c r="J179">
        <v>1</v>
      </c>
      <c r="K179">
        <f>G179*H179*I179*J179</f>
        <v>5836.2</v>
      </c>
      <c r="L179">
        <v>1</v>
      </c>
      <c r="M179">
        <v>0.93</v>
      </c>
      <c r="N179">
        <v>2.2999999999999998</v>
      </c>
      <c r="O179">
        <f>1+M179*N179</f>
        <v>3.1389999999999998</v>
      </c>
      <c r="P179">
        <v>1.05</v>
      </c>
      <c r="Q179">
        <f>K179*L179*O179*P179</f>
        <v>19235.823390000001</v>
      </c>
      <c r="R179">
        <v>1</v>
      </c>
      <c r="S179">
        <f>Q179*R179</f>
        <v>19235.823390000001</v>
      </c>
      <c r="T179">
        <f>SUM(S179:S180)</f>
        <v>162160.86755326501</v>
      </c>
      <c r="V179" s="7"/>
    </row>
    <row r="180" spans="1:22" ht="14.5" thickBot="1" x14ac:dyDescent="0.35">
      <c r="A180" s="6"/>
      <c r="F180" s="8"/>
      <c r="G180" s="9">
        <f>G171</f>
        <v>2793</v>
      </c>
      <c r="H180" s="9">
        <v>1.7251000000000001</v>
      </c>
      <c r="I180" s="9">
        <v>1</v>
      </c>
      <c r="J180" s="9">
        <v>1</v>
      </c>
      <c r="K180" s="9">
        <f>G180*H180*I180*J180</f>
        <v>4818.2043000000003</v>
      </c>
      <c r="L180" s="9">
        <v>1</v>
      </c>
      <c r="M180" s="9">
        <v>0.93</v>
      </c>
      <c r="N180" s="9">
        <v>2.2999999999999998</v>
      </c>
      <c r="O180" s="9">
        <f>1+M180*N180</f>
        <v>3.1389999999999998</v>
      </c>
      <c r="P180">
        <v>1.05</v>
      </c>
      <c r="Q180" s="9">
        <f>K180*L180*O180*P180</f>
        <v>15880.560462584999</v>
      </c>
      <c r="R180" s="9">
        <v>9</v>
      </c>
      <c r="S180" s="9">
        <f>Q180*R180</f>
        <v>142925.044163265</v>
      </c>
      <c r="T180" s="9"/>
      <c r="U180" s="9"/>
      <c r="V180" s="10"/>
    </row>
    <row r="181" spans="1:22" x14ac:dyDescent="0.3">
      <c r="A181" s="6"/>
      <c r="V181" s="7"/>
    </row>
    <row r="182" spans="1:22" ht="14.5" thickBot="1" x14ac:dyDescent="0.35">
      <c r="A182" s="6"/>
      <c r="F182" s="22" t="s">
        <v>53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7"/>
    </row>
    <row r="183" spans="1:22" x14ac:dyDescent="0.3">
      <c r="A183" s="6"/>
      <c r="F183" s="3"/>
      <c r="G183" s="4" t="s">
        <v>42</v>
      </c>
      <c r="H183" s="4" t="s">
        <v>43</v>
      </c>
      <c r="I183" s="4" t="s">
        <v>6</v>
      </c>
      <c r="J183" s="4" t="s">
        <v>2</v>
      </c>
      <c r="K183" s="4" t="s">
        <v>18</v>
      </c>
      <c r="L183" s="4" t="s">
        <v>9</v>
      </c>
      <c r="M183" s="4" t="s">
        <v>0</v>
      </c>
      <c r="N183" s="4" t="s">
        <v>11</v>
      </c>
      <c r="O183" s="4" t="s">
        <v>12</v>
      </c>
      <c r="P183" s="4" t="s">
        <v>13</v>
      </c>
      <c r="Q183" s="4" t="s">
        <v>14</v>
      </c>
      <c r="R183" s="4" t="s">
        <v>48</v>
      </c>
      <c r="S183" s="4" t="s">
        <v>49</v>
      </c>
      <c r="T183" s="4" t="s">
        <v>51</v>
      </c>
      <c r="U183" s="5" t="s">
        <v>16</v>
      </c>
      <c r="V183" s="7"/>
    </row>
    <row r="184" spans="1:22" x14ac:dyDescent="0.3">
      <c r="A184" s="6"/>
      <c r="F184" s="6" t="s">
        <v>44</v>
      </c>
      <c r="G184">
        <v>1446.85</v>
      </c>
      <c r="H184">
        <v>2</v>
      </c>
      <c r="I184">
        <v>1.28</v>
      </c>
      <c r="J184">
        <v>200</v>
      </c>
      <c r="K184">
        <v>2.68</v>
      </c>
      <c r="L184">
        <f>1+6*J184/(J184+2000)+K184</f>
        <v>4.2254545454545456</v>
      </c>
      <c r="M184">
        <v>0.85</v>
      </c>
      <c r="N184">
        <v>2.2200000000000002</v>
      </c>
      <c r="O184">
        <f>1+M184*N184</f>
        <v>2.887</v>
      </c>
      <c r="P184">
        <v>1.25</v>
      </c>
      <c r="Q184">
        <v>1</v>
      </c>
      <c r="R184">
        <v>0.6</v>
      </c>
      <c r="S184">
        <f>G184*H184*I184*L184*O184*P184*Q184*R184</f>
        <v>33887.923297047266</v>
      </c>
      <c r="T184">
        <v>2</v>
      </c>
      <c r="U184" s="7">
        <f>T186*T184</f>
        <v>86865.087892296506</v>
      </c>
      <c r="V184" s="7"/>
    </row>
    <row r="185" spans="1:22" x14ac:dyDescent="0.3">
      <c r="A185" s="6"/>
      <c r="F185" s="6" t="s">
        <v>45</v>
      </c>
      <c r="G185">
        <v>1446.85</v>
      </c>
      <c r="H185">
        <v>2</v>
      </c>
      <c r="I185">
        <v>1.28</v>
      </c>
      <c r="J185">
        <v>0</v>
      </c>
      <c r="K185">
        <v>2.2000000000000002</v>
      </c>
      <c r="L185">
        <f t="shared" ref="L185:L187" si="108">1+6*J185/(J185+2000)+K185</f>
        <v>3.2</v>
      </c>
      <c r="M185">
        <v>0.5</v>
      </c>
      <c r="N185">
        <v>1.5</v>
      </c>
      <c r="O185">
        <f t="shared" ref="O185:O187" si="109">1+M185*N185</f>
        <v>1.75</v>
      </c>
      <c r="P185">
        <v>1.05</v>
      </c>
      <c r="Q185">
        <v>1</v>
      </c>
      <c r="R185">
        <v>0.3</v>
      </c>
      <c r="S185">
        <f t="shared" ref="S185:S187" si="110">G185*H185*I185*L185*O185*P185*Q185*R185</f>
        <v>6533.7431040000001</v>
      </c>
      <c r="T185" t="s">
        <v>15</v>
      </c>
      <c r="U185" s="7"/>
      <c r="V185" s="7"/>
    </row>
    <row r="186" spans="1:22" x14ac:dyDescent="0.3">
      <c r="A186" s="6"/>
      <c r="F186" s="6" t="s">
        <v>46</v>
      </c>
      <c r="G186">
        <v>1446.85</v>
      </c>
      <c r="H186">
        <v>2</v>
      </c>
      <c r="I186">
        <v>1.28</v>
      </c>
      <c r="J186">
        <v>20</v>
      </c>
      <c r="K186">
        <v>1.3</v>
      </c>
      <c r="L186">
        <f t="shared" si="108"/>
        <v>2.3594059405940593</v>
      </c>
      <c r="M186">
        <v>0.93</v>
      </c>
      <c r="N186">
        <v>2.2999999999999998</v>
      </c>
      <c r="O186">
        <f t="shared" si="109"/>
        <v>3.1389999999999998</v>
      </c>
      <c r="P186">
        <v>1.25</v>
      </c>
      <c r="Q186">
        <v>1</v>
      </c>
      <c r="R186">
        <v>0.05</v>
      </c>
      <c r="S186">
        <f t="shared" si="110"/>
        <v>1714.4999451009896</v>
      </c>
      <c r="T186">
        <f>SUM(S184:S187)</f>
        <v>43432.543946148253</v>
      </c>
      <c r="U186" s="7"/>
      <c r="V186" s="7"/>
    </row>
    <row r="187" spans="1:22" x14ac:dyDescent="0.3">
      <c r="A187" s="6"/>
      <c r="F187" s="6" t="s">
        <v>47</v>
      </c>
      <c r="G187">
        <v>1446.85</v>
      </c>
      <c r="H187">
        <v>2</v>
      </c>
      <c r="I187">
        <v>1.28</v>
      </c>
      <c r="J187">
        <v>0</v>
      </c>
      <c r="K187">
        <v>2.2000000000000002</v>
      </c>
      <c r="L187">
        <f t="shared" si="108"/>
        <v>3.2</v>
      </c>
      <c r="M187">
        <v>0.5</v>
      </c>
      <c r="N187">
        <v>1.5</v>
      </c>
      <c r="O187">
        <f t="shared" si="109"/>
        <v>1.75</v>
      </c>
      <c r="P187">
        <v>1.25</v>
      </c>
      <c r="Q187">
        <v>1</v>
      </c>
      <c r="R187">
        <v>0.05</v>
      </c>
      <c r="S187">
        <f t="shared" si="110"/>
        <v>1296.3776</v>
      </c>
      <c r="U187" s="7"/>
      <c r="V187" s="7"/>
    </row>
    <row r="188" spans="1:22" x14ac:dyDescent="0.3">
      <c r="A188" s="6"/>
      <c r="F188" s="6"/>
      <c r="U188" s="7"/>
      <c r="V188" s="7"/>
    </row>
    <row r="189" spans="1:22" x14ac:dyDescent="0.3">
      <c r="A189" s="6"/>
      <c r="F189" s="6"/>
      <c r="G189" t="s">
        <v>42</v>
      </c>
      <c r="H189" t="s">
        <v>43</v>
      </c>
      <c r="I189" t="s">
        <v>6</v>
      </c>
      <c r="J189" t="s">
        <v>2</v>
      </c>
      <c r="K189" t="s">
        <v>18</v>
      </c>
      <c r="L189" t="s">
        <v>9</v>
      </c>
      <c r="M189" t="s">
        <v>0</v>
      </c>
      <c r="N189" t="s">
        <v>11</v>
      </c>
      <c r="O189" t="s">
        <v>12</v>
      </c>
      <c r="P189" t="s">
        <v>13</v>
      </c>
      <c r="Q189" t="s">
        <v>14</v>
      </c>
      <c r="R189" t="s">
        <v>48</v>
      </c>
      <c r="S189" t="s">
        <v>49</v>
      </c>
      <c r="T189" t="s">
        <v>51</v>
      </c>
      <c r="U189" s="7" t="s">
        <v>16</v>
      </c>
      <c r="V189" s="7"/>
    </row>
    <row r="190" spans="1:22" x14ac:dyDescent="0.3">
      <c r="A190" s="6"/>
      <c r="F190" s="6" t="s">
        <v>44</v>
      </c>
      <c r="G190">
        <v>1446.85</v>
      </c>
      <c r="H190">
        <v>2</v>
      </c>
      <c r="I190">
        <v>1.28</v>
      </c>
      <c r="J190">
        <v>200</v>
      </c>
      <c r="K190">
        <v>2.68</v>
      </c>
      <c r="L190">
        <f>1+6*J190/(J190+2000)+K190</f>
        <v>4.2254545454545456</v>
      </c>
      <c r="M190">
        <v>0.85</v>
      </c>
      <c r="N190">
        <v>2.2200000000000002</v>
      </c>
      <c r="O190">
        <f>1+M190*N190</f>
        <v>2.887</v>
      </c>
      <c r="P190">
        <v>1.05</v>
      </c>
      <c r="Q190">
        <v>1</v>
      </c>
      <c r="R190">
        <v>0.6</v>
      </c>
      <c r="S190">
        <f>G190*H190*I190*L190*O190*P190*Q190*R190</f>
        <v>28465.85556951971</v>
      </c>
      <c r="T190">
        <v>2</v>
      </c>
      <c r="U190" s="7">
        <f>T192*T190</f>
        <v>75057.471622809069</v>
      </c>
      <c r="V190" s="7"/>
    </row>
    <row r="191" spans="1:22" x14ac:dyDescent="0.3">
      <c r="A191" s="6"/>
      <c r="F191" s="6" t="s">
        <v>45</v>
      </c>
      <c r="G191">
        <v>1446.85</v>
      </c>
      <c r="H191">
        <v>2</v>
      </c>
      <c r="I191">
        <v>1.28</v>
      </c>
      <c r="J191">
        <v>0</v>
      </c>
      <c r="K191">
        <v>2.2000000000000002</v>
      </c>
      <c r="L191">
        <f t="shared" ref="L191:L193" si="111">1+6*J191/(J191+2000)+K191</f>
        <v>3.2</v>
      </c>
      <c r="M191">
        <v>0.5</v>
      </c>
      <c r="N191">
        <v>1.5</v>
      </c>
      <c r="O191">
        <f t="shared" ref="O191:O193" si="112">1+M191*N191</f>
        <v>1.75</v>
      </c>
      <c r="P191">
        <v>1.05</v>
      </c>
      <c r="Q191">
        <v>1</v>
      </c>
      <c r="R191">
        <v>0.3</v>
      </c>
      <c r="S191">
        <f t="shared" ref="S191:S193" si="113">G191*H191*I191*L191*O191*P191*Q191*R191</f>
        <v>6533.7431040000001</v>
      </c>
      <c r="T191" t="s">
        <v>15</v>
      </c>
      <c r="U191" s="7"/>
      <c r="V191" s="7"/>
    </row>
    <row r="192" spans="1:22" x14ac:dyDescent="0.3">
      <c r="A192" s="6"/>
      <c r="F192" s="6" t="s">
        <v>46</v>
      </c>
      <c r="G192">
        <v>1446.85</v>
      </c>
      <c r="H192">
        <v>2</v>
      </c>
      <c r="I192">
        <v>1.28</v>
      </c>
      <c r="J192">
        <v>20</v>
      </c>
      <c r="K192">
        <v>1.3</v>
      </c>
      <c r="L192">
        <f t="shared" si="111"/>
        <v>2.3594059405940593</v>
      </c>
      <c r="M192">
        <v>0.93</v>
      </c>
      <c r="N192">
        <v>2.2999999999999998</v>
      </c>
      <c r="O192">
        <f t="shared" si="112"/>
        <v>3.1389999999999998</v>
      </c>
      <c r="P192">
        <v>1.05</v>
      </c>
      <c r="Q192">
        <v>1</v>
      </c>
      <c r="R192">
        <v>0.05</v>
      </c>
      <c r="S192">
        <f t="shared" si="113"/>
        <v>1440.1799538848315</v>
      </c>
      <c r="T192">
        <f>SUM(S190:S193)</f>
        <v>37528.735811404535</v>
      </c>
      <c r="U192" s="7"/>
      <c r="V192" s="7"/>
    </row>
    <row r="193" spans="1:22" ht="14.5" thickBot="1" x14ac:dyDescent="0.35">
      <c r="A193" s="6"/>
      <c r="F193" s="8" t="s">
        <v>47</v>
      </c>
      <c r="G193" s="9">
        <v>1446.85</v>
      </c>
      <c r="H193" s="9">
        <v>2</v>
      </c>
      <c r="I193" s="9">
        <v>1.28</v>
      </c>
      <c r="J193" s="9">
        <v>0</v>
      </c>
      <c r="K193" s="9">
        <v>2.2000000000000002</v>
      </c>
      <c r="L193" s="9">
        <f t="shared" si="111"/>
        <v>3.2</v>
      </c>
      <c r="M193">
        <v>0.5</v>
      </c>
      <c r="N193" s="9">
        <v>1.5</v>
      </c>
      <c r="O193" s="9">
        <f t="shared" si="112"/>
        <v>1.75</v>
      </c>
      <c r="P193">
        <v>1.05</v>
      </c>
      <c r="Q193" s="9">
        <v>1</v>
      </c>
      <c r="R193" s="9">
        <v>0.05</v>
      </c>
      <c r="S193" s="9">
        <f t="shared" si="113"/>
        <v>1088.9571840000001</v>
      </c>
      <c r="T193" s="9"/>
      <c r="U193" s="10"/>
      <c r="V193" s="7"/>
    </row>
    <row r="194" spans="1:22" ht="14.5" thickBot="1" x14ac:dyDescent="0.35">
      <c r="A194" s="6"/>
      <c r="F194" s="23" t="s">
        <v>54</v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7"/>
    </row>
    <row r="195" spans="1:22" x14ac:dyDescent="0.3">
      <c r="A195" s="6"/>
      <c r="F195" s="3"/>
      <c r="G195" s="4" t="s">
        <v>42</v>
      </c>
      <c r="H195" s="4" t="s">
        <v>52</v>
      </c>
      <c r="I195" s="4" t="s">
        <v>6</v>
      </c>
      <c r="J195" s="4" t="s">
        <v>2</v>
      </c>
      <c r="K195" s="4" t="s">
        <v>18</v>
      </c>
      <c r="L195" s="4" t="s">
        <v>9</v>
      </c>
      <c r="M195" s="4" t="s">
        <v>0</v>
      </c>
      <c r="N195" s="4" t="s">
        <v>11</v>
      </c>
      <c r="O195" s="4" t="s">
        <v>12</v>
      </c>
      <c r="P195" s="4" t="s">
        <v>13</v>
      </c>
      <c r="Q195" s="4" t="s">
        <v>14</v>
      </c>
      <c r="R195" s="4" t="s">
        <v>48</v>
      </c>
      <c r="S195" s="4" t="s">
        <v>49</v>
      </c>
      <c r="T195" s="4" t="s">
        <v>51</v>
      </c>
      <c r="U195" s="5" t="s">
        <v>16</v>
      </c>
      <c r="V195" s="7"/>
    </row>
    <row r="196" spans="1:22" x14ac:dyDescent="0.3">
      <c r="A196" s="6"/>
      <c r="F196" s="6" t="s">
        <v>44</v>
      </c>
      <c r="G196">
        <v>1446.85</v>
      </c>
      <c r="H196">
        <v>0.75</v>
      </c>
      <c r="I196">
        <v>1.28</v>
      </c>
      <c r="J196">
        <v>0</v>
      </c>
      <c r="K196">
        <v>2.2000000000000002</v>
      </c>
      <c r="L196">
        <f t="shared" ref="L196" si="114">1+6*J196/(J196+2000)+K196</f>
        <v>3.2</v>
      </c>
      <c r="M196">
        <v>0.5</v>
      </c>
      <c r="N196">
        <v>1.5</v>
      </c>
      <c r="O196">
        <f t="shared" ref="O196" si="115">1+M196*N196</f>
        <v>1.75</v>
      </c>
      <c r="P196">
        <v>1.05</v>
      </c>
      <c r="Q196">
        <v>1</v>
      </c>
      <c r="R196">
        <v>0.6</v>
      </c>
      <c r="S196">
        <f>G196*H196*I196*L196*O196*P196*Q196*R196</f>
        <v>4900.3073279999999</v>
      </c>
      <c r="T196">
        <v>4</v>
      </c>
      <c r="U196" s="7">
        <f>T198*T196</f>
        <v>49533.488102436939</v>
      </c>
      <c r="V196" s="7"/>
    </row>
    <row r="197" spans="1:22" x14ac:dyDescent="0.3">
      <c r="A197" s="6"/>
      <c r="F197" s="6" t="s">
        <v>45</v>
      </c>
      <c r="G197">
        <v>1446.85</v>
      </c>
      <c r="H197">
        <v>0.75</v>
      </c>
      <c r="I197">
        <v>1.28</v>
      </c>
      <c r="J197">
        <v>200</v>
      </c>
      <c r="K197">
        <v>2.68</v>
      </c>
      <c r="L197">
        <f>1+6*J197/(J197+2000)+K197</f>
        <v>4.2254545454545456</v>
      </c>
      <c r="M197">
        <v>0.85</v>
      </c>
      <c r="N197">
        <v>2.2200000000000002</v>
      </c>
      <c r="O197">
        <f>1+M197*N197</f>
        <v>2.887</v>
      </c>
      <c r="P197">
        <v>1.25</v>
      </c>
      <c r="Q197">
        <v>1</v>
      </c>
      <c r="R197">
        <v>0.3</v>
      </c>
      <c r="S197">
        <f t="shared" ref="S197:S199" si="116">G197*H197*I197*L197*O197*P197*Q197*R197</f>
        <v>6353.9856181963632</v>
      </c>
      <c r="T197" t="s">
        <v>15</v>
      </c>
      <c r="U197" s="7"/>
      <c r="V197" s="7"/>
    </row>
    <row r="198" spans="1:22" x14ac:dyDescent="0.3">
      <c r="A198" s="6"/>
      <c r="F198" s="6" t="s">
        <v>46</v>
      </c>
      <c r="G198">
        <v>1446.85</v>
      </c>
      <c r="H198">
        <v>0.75</v>
      </c>
      <c r="I198">
        <v>1.28</v>
      </c>
      <c r="J198">
        <v>20</v>
      </c>
      <c r="K198">
        <v>1.3</v>
      </c>
      <c r="L198">
        <f t="shared" ref="L198:L199" si="117">1+6*J198/(J198+2000)+K198</f>
        <v>2.3594059405940593</v>
      </c>
      <c r="M198">
        <v>0.93</v>
      </c>
      <c r="N198">
        <v>2.2999999999999998</v>
      </c>
      <c r="O198">
        <f t="shared" ref="O198:O199" si="118">1+M198*N198</f>
        <v>3.1389999999999998</v>
      </c>
      <c r="P198">
        <v>1.25</v>
      </c>
      <c r="Q198">
        <v>1</v>
      </c>
      <c r="R198">
        <v>0.05</v>
      </c>
      <c r="S198">
        <f t="shared" si="116"/>
        <v>642.9374794128712</v>
      </c>
      <c r="T198">
        <f>SUM(S196:S199)</f>
        <v>12383.372025609235</v>
      </c>
      <c r="U198" s="7"/>
      <c r="V198" s="7"/>
    </row>
    <row r="199" spans="1:22" x14ac:dyDescent="0.3">
      <c r="A199" s="6"/>
      <c r="F199" s="6" t="s">
        <v>47</v>
      </c>
      <c r="G199">
        <v>1446.85</v>
      </c>
      <c r="H199">
        <v>0.75</v>
      </c>
      <c r="I199">
        <v>1.28</v>
      </c>
      <c r="J199">
        <v>0</v>
      </c>
      <c r="K199">
        <v>2.2000000000000002</v>
      </c>
      <c r="L199">
        <f t="shared" si="117"/>
        <v>3.2</v>
      </c>
      <c r="M199">
        <v>0.5</v>
      </c>
      <c r="N199">
        <v>1.5</v>
      </c>
      <c r="O199">
        <f t="shared" si="118"/>
        <v>1.75</v>
      </c>
      <c r="P199">
        <v>1.25</v>
      </c>
      <c r="Q199">
        <v>1</v>
      </c>
      <c r="R199">
        <v>0.05</v>
      </c>
      <c r="S199">
        <f t="shared" si="116"/>
        <v>486.14159999999993</v>
      </c>
      <c r="U199" s="7"/>
      <c r="V199" s="7"/>
    </row>
    <row r="200" spans="1:22" x14ac:dyDescent="0.3">
      <c r="A200" s="6"/>
      <c r="F200" s="6"/>
      <c r="U200" s="7"/>
      <c r="V200" s="7"/>
    </row>
    <row r="201" spans="1:22" x14ac:dyDescent="0.3">
      <c r="A201" s="6"/>
      <c r="F201" s="6"/>
      <c r="G201" t="s">
        <v>42</v>
      </c>
      <c r="H201" t="s">
        <v>52</v>
      </c>
      <c r="I201" t="s">
        <v>6</v>
      </c>
      <c r="J201" t="s">
        <v>2</v>
      </c>
      <c r="K201" t="s">
        <v>18</v>
      </c>
      <c r="L201" t="s">
        <v>9</v>
      </c>
      <c r="M201" t="s">
        <v>0</v>
      </c>
      <c r="N201" t="s">
        <v>11</v>
      </c>
      <c r="O201" t="s">
        <v>12</v>
      </c>
      <c r="P201" t="s">
        <v>13</v>
      </c>
      <c r="Q201" t="s">
        <v>14</v>
      </c>
      <c r="R201" t="s">
        <v>48</v>
      </c>
      <c r="S201" t="s">
        <v>49</v>
      </c>
      <c r="T201" t="s">
        <v>51</v>
      </c>
      <c r="U201" s="7" t="s">
        <v>16</v>
      </c>
      <c r="V201" s="7"/>
    </row>
    <row r="202" spans="1:22" x14ac:dyDescent="0.3">
      <c r="A202" s="6"/>
      <c r="F202" s="6" t="s">
        <v>44</v>
      </c>
      <c r="G202">
        <v>1446.85</v>
      </c>
      <c r="H202">
        <v>0.75</v>
      </c>
      <c r="I202">
        <v>1.28</v>
      </c>
      <c r="J202">
        <v>0</v>
      </c>
      <c r="K202">
        <v>2.2000000000000002</v>
      </c>
      <c r="L202">
        <f t="shared" ref="L202" si="119">1+6*J202/(J202+2000)+K202</f>
        <v>3.2</v>
      </c>
      <c r="M202">
        <v>0.5</v>
      </c>
      <c r="N202">
        <v>1.5</v>
      </c>
      <c r="O202">
        <f t="shared" ref="O202" si="120">1+M202*N202</f>
        <v>1.75</v>
      </c>
      <c r="P202">
        <v>1.05</v>
      </c>
      <c r="Q202">
        <v>1</v>
      </c>
      <c r="R202">
        <v>0.6</v>
      </c>
      <c r="S202">
        <f>G202*H202*I202*L202*O202*P202*Q202*R202</f>
        <v>4900.3073279999999</v>
      </c>
      <c r="T202">
        <v>2</v>
      </c>
      <c r="U202" s="7">
        <f>T204*T202</f>
        <v>22733.468653395634</v>
      </c>
      <c r="V202" s="7"/>
    </row>
    <row r="203" spans="1:22" x14ac:dyDescent="0.3">
      <c r="A203" s="6"/>
      <c r="F203" s="6" t="s">
        <v>45</v>
      </c>
      <c r="G203">
        <v>1446.85</v>
      </c>
      <c r="H203">
        <v>0.75</v>
      </c>
      <c r="I203">
        <v>1.28</v>
      </c>
      <c r="J203">
        <v>200</v>
      </c>
      <c r="K203">
        <v>2.68</v>
      </c>
      <c r="L203">
        <f>1+6*J203/(J203+2000)+K203</f>
        <v>4.2254545454545456</v>
      </c>
      <c r="M203">
        <v>0.85</v>
      </c>
      <c r="N203">
        <v>2.2200000000000002</v>
      </c>
      <c r="O203">
        <f>1+M203*N203</f>
        <v>2.887</v>
      </c>
      <c r="P203">
        <v>1.05</v>
      </c>
      <c r="Q203">
        <v>1</v>
      </c>
      <c r="R203">
        <v>0.3</v>
      </c>
      <c r="S203">
        <f t="shared" ref="S203:S205" si="121">G203*H203*I203*L203*O203*P203*Q203*R203</f>
        <v>5337.3479192849454</v>
      </c>
      <c r="T203" t="s">
        <v>15</v>
      </c>
      <c r="U203" s="7"/>
      <c r="V203" s="7"/>
    </row>
    <row r="204" spans="1:22" x14ac:dyDescent="0.3">
      <c r="A204" s="6"/>
      <c r="F204" s="6" t="s">
        <v>46</v>
      </c>
      <c r="G204">
        <v>1446.85</v>
      </c>
      <c r="H204">
        <v>0.75</v>
      </c>
      <c r="I204">
        <v>1.28</v>
      </c>
      <c r="J204">
        <v>20</v>
      </c>
      <c r="K204">
        <v>1.3</v>
      </c>
      <c r="L204">
        <f t="shared" ref="L204:L205" si="122">1+6*J204/(J204+2000)+K204</f>
        <v>2.3594059405940593</v>
      </c>
      <c r="M204">
        <v>0.93</v>
      </c>
      <c r="N204">
        <v>2.2999999999999998</v>
      </c>
      <c r="O204">
        <f t="shared" ref="O204:O205" si="123">1+M204*N204</f>
        <v>3.1389999999999998</v>
      </c>
      <c r="P204">
        <v>1.25</v>
      </c>
      <c r="Q204">
        <v>1</v>
      </c>
      <c r="R204">
        <v>0.05</v>
      </c>
      <c r="S204">
        <f t="shared" si="121"/>
        <v>642.9374794128712</v>
      </c>
      <c r="T204">
        <f>SUM(S202:S205)</f>
        <v>11366.734326697817</v>
      </c>
      <c r="U204" s="7"/>
      <c r="V204" s="7"/>
    </row>
    <row r="205" spans="1:22" ht="14.5" thickBot="1" x14ac:dyDescent="0.35">
      <c r="A205" s="8"/>
      <c r="B205" s="9"/>
      <c r="C205" s="9"/>
      <c r="D205" s="9"/>
      <c r="E205" s="9"/>
      <c r="F205" s="8" t="s">
        <v>47</v>
      </c>
      <c r="G205" s="9">
        <v>1446.85</v>
      </c>
      <c r="H205" s="9">
        <v>0.75</v>
      </c>
      <c r="I205" s="9">
        <v>1.28</v>
      </c>
      <c r="J205" s="9">
        <v>0</v>
      </c>
      <c r="K205" s="9">
        <v>2.2000000000000002</v>
      </c>
      <c r="L205" s="9">
        <f t="shared" si="122"/>
        <v>3.2</v>
      </c>
      <c r="M205" s="9">
        <v>0.5</v>
      </c>
      <c r="N205" s="9">
        <v>1.5</v>
      </c>
      <c r="O205" s="9">
        <f t="shared" si="123"/>
        <v>1.75</v>
      </c>
      <c r="P205">
        <v>1.25</v>
      </c>
      <c r="Q205" s="9">
        <v>1</v>
      </c>
      <c r="R205" s="9">
        <v>0.05</v>
      </c>
      <c r="S205" s="9">
        <f t="shared" si="121"/>
        <v>486.14159999999993</v>
      </c>
      <c r="T205" s="9"/>
      <c r="U205" s="10"/>
      <c r="V205" s="10"/>
    </row>
  </sheetData>
  <mergeCells count="15">
    <mergeCell ref="A1:D1"/>
    <mergeCell ref="A2:A9"/>
    <mergeCell ref="F25:V25"/>
    <mergeCell ref="F42:U42"/>
    <mergeCell ref="F54:U54"/>
    <mergeCell ref="A70:D70"/>
    <mergeCell ref="A71:A78"/>
    <mergeCell ref="F94:V94"/>
    <mergeCell ref="F112:U112"/>
    <mergeCell ref="F124:U124"/>
    <mergeCell ref="A140:D140"/>
    <mergeCell ref="A141:A148"/>
    <mergeCell ref="F164:V164"/>
    <mergeCell ref="F182:U182"/>
    <mergeCell ref="F194:U19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7363-2D64-4408-9BE6-382E1F91BC3D}">
  <dimension ref="A1:V65"/>
  <sheetViews>
    <sheetView zoomScale="90" zoomScaleNormal="90" workbookViewId="0">
      <selection activeCell="M4" sqref="M4"/>
    </sheetView>
  </sheetViews>
  <sheetFormatPr defaultRowHeight="14" x14ac:dyDescent="0.3"/>
  <cols>
    <col min="2" max="2" width="10.1640625" customWidth="1"/>
    <col min="6" max="6" width="3.75" customWidth="1"/>
  </cols>
  <sheetData>
    <row r="1" spans="1:22" x14ac:dyDescent="0.3">
      <c r="A1" s="24" t="s">
        <v>57</v>
      </c>
      <c r="B1" s="25"/>
      <c r="C1" s="25"/>
      <c r="D1" s="26"/>
      <c r="F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  <c r="L1" t="s">
        <v>2</v>
      </c>
      <c r="M1" t="s">
        <v>18</v>
      </c>
      <c r="N1" t="s">
        <v>9</v>
      </c>
      <c r="O1" t="s">
        <v>10</v>
      </c>
      <c r="P1" t="s">
        <v>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3">
      <c r="A2" s="28" t="s">
        <v>27</v>
      </c>
      <c r="B2" s="1" t="s">
        <v>25</v>
      </c>
      <c r="C2" s="1" t="s">
        <v>26</v>
      </c>
      <c r="D2" s="1" t="s">
        <v>28</v>
      </c>
      <c r="F2" t="s">
        <v>17</v>
      </c>
      <c r="G2">
        <f>3199+488+203</f>
        <v>3890</v>
      </c>
      <c r="H2">
        <v>2.9355000000000002</v>
      </c>
      <c r="I2">
        <v>1.28</v>
      </c>
      <c r="J2">
        <v>1</v>
      </c>
      <c r="K2">
        <f>G2*H2*I2*J2</f>
        <v>14616.441600000002</v>
      </c>
      <c r="L2">
        <v>200</v>
      </c>
      <c r="M2">
        <v>2.23</v>
      </c>
      <c r="N2">
        <f>1+6*L2/(L2+2000)+M2</f>
        <v>3.7754545454545454</v>
      </c>
      <c r="O2">
        <v>0</v>
      </c>
      <c r="P2">
        <v>0.85</v>
      </c>
      <c r="Q2">
        <v>2.62</v>
      </c>
      <c r="R2">
        <f>1+P2*Q2</f>
        <v>3.2269999999999999</v>
      </c>
      <c r="S2">
        <v>1.1499999999999999</v>
      </c>
      <c r="T2">
        <v>1</v>
      </c>
      <c r="U2">
        <f>(K2*N2+O2)*R2*S2*T2</f>
        <v>204789.51025042823</v>
      </c>
      <c r="V2">
        <f>SUM(U2:U16)</f>
        <v>3340075.4571860186</v>
      </c>
    </row>
    <row r="3" spans="1:22" x14ac:dyDescent="0.3">
      <c r="A3" s="28"/>
      <c r="B3" s="1">
        <f>B5+B7+B9</f>
        <v>4595686.1412232043</v>
      </c>
      <c r="C3" s="1">
        <f>B3/D3</f>
        <v>213752.84377782347</v>
      </c>
      <c r="D3" s="1">
        <v>21.5</v>
      </c>
      <c r="F3" t="s">
        <v>17</v>
      </c>
      <c r="G3">
        <f t="shared" ref="G3:G9" si="0">3199+488+203</f>
        <v>3890</v>
      </c>
      <c r="H3">
        <v>2.9355000000000002</v>
      </c>
      <c r="I3">
        <v>1.28</v>
      </c>
      <c r="J3">
        <v>1</v>
      </c>
      <c r="K3">
        <f t="shared" ref="K3:K9" si="1">G3*H3*I3*J3</f>
        <v>14616.441600000002</v>
      </c>
      <c r="L3">
        <v>200</v>
      </c>
      <c r="M3">
        <v>2.38</v>
      </c>
      <c r="N3">
        <f t="shared" ref="N3:N9" si="2">1+6*L3/(L3+2000)+M3</f>
        <v>3.9254545454545453</v>
      </c>
      <c r="O3">
        <v>0</v>
      </c>
      <c r="P3">
        <v>0.85</v>
      </c>
      <c r="Q3">
        <v>2.82</v>
      </c>
      <c r="R3">
        <f t="shared" ref="R3:R9" si="3">1+P3*Q3</f>
        <v>3.3969999999999998</v>
      </c>
      <c r="S3">
        <v>1.1499999999999999</v>
      </c>
      <c r="T3">
        <v>1</v>
      </c>
      <c r="U3">
        <f t="shared" ref="U3:U9" si="4">(K3*N3+O3)*R3*S3*T3</f>
        <v>224142.90471677145</v>
      </c>
    </row>
    <row r="4" spans="1:22" x14ac:dyDescent="0.3">
      <c r="A4" s="28"/>
      <c r="B4" s="1" t="s">
        <v>29</v>
      </c>
      <c r="C4" s="1" t="s">
        <v>30</v>
      </c>
      <c r="D4" s="1"/>
      <c r="F4" t="s">
        <v>17</v>
      </c>
      <c r="G4">
        <f t="shared" si="0"/>
        <v>3890</v>
      </c>
      <c r="H4">
        <v>2.9355000000000002</v>
      </c>
      <c r="I4">
        <v>1.28</v>
      </c>
      <c r="J4">
        <v>1</v>
      </c>
      <c r="K4">
        <f t="shared" si="1"/>
        <v>14616.441600000002</v>
      </c>
      <c r="L4">
        <v>200</v>
      </c>
      <c r="M4">
        <v>2.38</v>
      </c>
      <c r="N4">
        <f t="shared" si="2"/>
        <v>3.9254545454545453</v>
      </c>
      <c r="O4">
        <v>0</v>
      </c>
      <c r="P4">
        <v>0.85</v>
      </c>
      <c r="Q4">
        <v>3.02</v>
      </c>
      <c r="R4">
        <f t="shared" si="3"/>
        <v>3.5669999999999997</v>
      </c>
      <c r="S4">
        <v>1.1499999999999999</v>
      </c>
      <c r="T4">
        <v>1</v>
      </c>
      <c r="U4">
        <f t="shared" si="4"/>
        <v>235359.94734316276</v>
      </c>
    </row>
    <row r="5" spans="1:22" x14ac:dyDescent="0.3">
      <c r="A5" s="28"/>
      <c r="B5" s="1">
        <f>V2+T19</f>
        <v>3817304.9591355086</v>
      </c>
      <c r="C5" s="2">
        <f>B5/B3</f>
        <v>0.83062786313764259</v>
      </c>
      <c r="D5" s="1"/>
      <c r="F5" t="s">
        <v>17</v>
      </c>
      <c r="G5">
        <f t="shared" si="0"/>
        <v>3890</v>
      </c>
      <c r="H5">
        <v>2.9355000000000002</v>
      </c>
      <c r="I5">
        <v>1.28</v>
      </c>
      <c r="J5">
        <v>1</v>
      </c>
      <c r="K5">
        <f t="shared" si="1"/>
        <v>14616.441600000002</v>
      </c>
      <c r="L5">
        <v>200</v>
      </c>
      <c r="M5">
        <v>2.38</v>
      </c>
      <c r="N5">
        <f t="shared" si="2"/>
        <v>3.9254545454545453</v>
      </c>
      <c r="O5">
        <v>0</v>
      </c>
      <c r="P5">
        <v>0.85</v>
      </c>
      <c r="Q5">
        <v>3.22</v>
      </c>
      <c r="R5">
        <f t="shared" si="3"/>
        <v>3.7370000000000001</v>
      </c>
      <c r="S5">
        <v>1.1499999999999999</v>
      </c>
      <c r="T5">
        <v>1</v>
      </c>
      <c r="U5">
        <f t="shared" si="4"/>
        <v>246576.98996955404</v>
      </c>
    </row>
    <row r="6" spans="1:22" x14ac:dyDescent="0.3">
      <c r="A6" s="28"/>
      <c r="B6" s="1" t="s">
        <v>31</v>
      </c>
      <c r="C6" s="2" t="s">
        <v>30</v>
      </c>
      <c r="D6" s="1"/>
      <c r="F6" t="s">
        <v>17</v>
      </c>
      <c r="G6">
        <f t="shared" si="0"/>
        <v>3890</v>
      </c>
      <c r="H6">
        <v>2.9355000000000002</v>
      </c>
      <c r="I6">
        <v>1.28</v>
      </c>
      <c r="J6">
        <v>1</v>
      </c>
      <c r="K6">
        <f t="shared" si="1"/>
        <v>14616.441600000002</v>
      </c>
      <c r="L6">
        <v>200</v>
      </c>
      <c r="M6">
        <v>2.38</v>
      </c>
      <c r="N6">
        <f t="shared" si="2"/>
        <v>3.9254545454545453</v>
      </c>
      <c r="O6">
        <v>0</v>
      </c>
      <c r="P6">
        <v>0.85</v>
      </c>
      <c r="Q6">
        <v>3.22</v>
      </c>
      <c r="R6">
        <f t="shared" si="3"/>
        <v>3.7370000000000001</v>
      </c>
      <c r="S6">
        <v>1.1499999999999999</v>
      </c>
      <c r="T6">
        <v>1</v>
      </c>
      <c r="U6">
        <f t="shared" si="4"/>
        <v>246576.98996955404</v>
      </c>
    </row>
    <row r="7" spans="1:22" x14ac:dyDescent="0.3">
      <c r="A7" s="28"/>
      <c r="B7" s="1">
        <f>V27+T39</f>
        <v>586299.57437125291</v>
      </c>
      <c r="C7" s="2">
        <f>B7/B3</f>
        <v>0.12757606946047914</v>
      </c>
      <c r="D7" s="1"/>
      <c r="F7" t="s">
        <v>17</v>
      </c>
      <c r="G7">
        <f t="shared" si="0"/>
        <v>3890</v>
      </c>
      <c r="H7">
        <v>2.9355000000000002</v>
      </c>
      <c r="I7">
        <v>1.28</v>
      </c>
      <c r="J7">
        <v>1</v>
      </c>
      <c r="K7">
        <f t="shared" si="1"/>
        <v>14616.441600000002</v>
      </c>
      <c r="L7">
        <v>200</v>
      </c>
      <c r="M7">
        <v>2.38</v>
      </c>
      <c r="N7">
        <f t="shared" si="2"/>
        <v>3.9254545454545453</v>
      </c>
      <c r="O7">
        <v>0</v>
      </c>
      <c r="P7">
        <v>0.85</v>
      </c>
      <c r="Q7">
        <v>3.22</v>
      </c>
      <c r="R7">
        <f t="shared" si="3"/>
        <v>3.7370000000000001</v>
      </c>
      <c r="S7">
        <v>1.1499999999999999</v>
      </c>
      <c r="T7">
        <v>1</v>
      </c>
      <c r="U7">
        <f t="shared" si="4"/>
        <v>246576.98996955404</v>
      </c>
    </row>
    <row r="8" spans="1:22" x14ac:dyDescent="0.3">
      <c r="A8" s="28"/>
      <c r="B8" s="1" t="s">
        <v>50</v>
      </c>
      <c r="C8" s="2" t="s">
        <v>30</v>
      </c>
      <c r="D8" s="1"/>
      <c r="F8" s="6" t="s">
        <v>20</v>
      </c>
      <c r="G8">
        <f t="shared" si="0"/>
        <v>3890</v>
      </c>
      <c r="H8">
        <v>5.9543999999999997</v>
      </c>
      <c r="I8">
        <v>1.28</v>
      </c>
      <c r="J8">
        <v>2</v>
      </c>
      <c r="K8">
        <f t="shared" si="1"/>
        <v>59296.29696</v>
      </c>
      <c r="L8">
        <v>200</v>
      </c>
      <c r="M8">
        <v>2.38</v>
      </c>
      <c r="N8">
        <f t="shared" si="2"/>
        <v>3.9254545454545453</v>
      </c>
      <c r="O8">
        <v>0</v>
      </c>
      <c r="P8">
        <v>0.85</v>
      </c>
      <c r="Q8">
        <v>2.2200000000000002</v>
      </c>
      <c r="R8">
        <f t="shared" si="3"/>
        <v>2.887</v>
      </c>
      <c r="S8">
        <v>1.1499999999999999</v>
      </c>
      <c r="T8">
        <v>1</v>
      </c>
      <c r="U8">
        <f t="shared" si="4"/>
        <v>772791.16743436654</v>
      </c>
    </row>
    <row r="9" spans="1:22" x14ac:dyDescent="0.3">
      <c r="A9" s="28"/>
      <c r="B9" s="1">
        <f>U44+U50+U56+U62</f>
        <v>192081.6077164427</v>
      </c>
      <c r="C9" s="2">
        <f>B9/B3</f>
        <v>4.1796067401878224E-2</v>
      </c>
      <c r="D9" s="1"/>
      <c r="F9" s="6" t="s">
        <v>19</v>
      </c>
      <c r="G9">
        <f t="shared" si="0"/>
        <v>3890</v>
      </c>
      <c r="H9">
        <v>0.58320000000000005</v>
      </c>
      <c r="I9">
        <v>1.28</v>
      </c>
      <c r="J9">
        <v>4</v>
      </c>
      <c r="K9">
        <f t="shared" si="1"/>
        <v>11615.477760000002</v>
      </c>
      <c r="L9">
        <v>200</v>
      </c>
      <c r="M9">
        <v>2.38</v>
      </c>
      <c r="N9">
        <f t="shared" si="2"/>
        <v>3.9254545454545453</v>
      </c>
      <c r="O9">
        <v>0</v>
      </c>
      <c r="P9">
        <v>0.85</v>
      </c>
      <c r="Q9">
        <v>2.2200000000000002</v>
      </c>
      <c r="R9">
        <f t="shared" si="3"/>
        <v>2.887</v>
      </c>
      <c r="S9">
        <v>1.1499999999999999</v>
      </c>
      <c r="T9">
        <v>1</v>
      </c>
      <c r="U9">
        <f t="shared" si="4"/>
        <v>151381.0993039509</v>
      </c>
    </row>
    <row r="10" spans="1:22" x14ac:dyDescent="0.3">
      <c r="F10" t="s">
        <v>17</v>
      </c>
      <c r="G10">
        <f>3199+488+203</f>
        <v>3890</v>
      </c>
      <c r="H10">
        <v>2.9355000000000002</v>
      </c>
      <c r="I10">
        <v>1.28</v>
      </c>
      <c r="J10">
        <v>1</v>
      </c>
      <c r="K10">
        <f>G10*H10*I10*J10</f>
        <v>14616.441600000002</v>
      </c>
      <c r="L10">
        <v>200</v>
      </c>
      <c r="M10">
        <v>2.38</v>
      </c>
      <c r="N10">
        <f>1+6*L10/(L10+2000)+M10</f>
        <v>3.9254545454545453</v>
      </c>
      <c r="O10">
        <v>0</v>
      </c>
      <c r="P10">
        <v>0.85</v>
      </c>
      <c r="Q10">
        <v>2.62</v>
      </c>
      <c r="R10">
        <f>1+P10*Q10</f>
        <v>3.2269999999999999</v>
      </c>
      <c r="S10">
        <v>0.9</v>
      </c>
      <c r="T10">
        <v>1</v>
      </c>
      <c r="U10">
        <f>(K10*N10+O10)*R10*S10*T10</f>
        <v>166637.63120116713</v>
      </c>
    </row>
    <row r="11" spans="1:22" x14ac:dyDescent="0.3">
      <c r="F11" t="s">
        <v>17</v>
      </c>
      <c r="G11">
        <f>3199+203</f>
        <v>3402</v>
      </c>
      <c r="H11">
        <v>2.9355000000000002</v>
      </c>
      <c r="I11">
        <v>1.28</v>
      </c>
      <c r="J11">
        <v>1</v>
      </c>
      <c r="K11">
        <f t="shared" ref="K11:K16" si="5">G11*H11*I11*J11</f>
        <v>12782.810880000001</v>
      </c>
      <c r="L11">
        <v>200</v>
      </c>
      <c r="M11">
        <v>2.38</v>
      </c>
      <c r="N11">
        <f t="shared" ref="N11:N16" si="6">1+6*L11/(L11+2000)+M11</f>
        <v>3.9254545454545453</v>
      </c>
      <c r="O11">
        <v>0</v>
      </c>
      <c r="P11">
        <v>0.85</v>
      </c>
      <c r="Q11">
        <v>2.82</v>
      </c>
      <c r="R11">
        <f t="shared" ref="R11:R16" si="7">1+P11*Q11</f>
        <v>3.3969999999999998</v>
      </c>
      <c r="S11">
        <v>0.9</v>
      </c>
      <c r="T11">
        <v>1</v>
      </c>
      <c r="U11">
        <f t="shared" ref="U11:U16" si="8">(K11*N11+O11)*R11*S11*T11</f>
        <v>153410.24827580439</v>
      </c>
    </row>
    <row r="12" spans="1:22" x14ac:dyDescent="0.3">
      <c r="F12" t="s">
        <v>17</v>
      </c>
      <c r="G12">
        <f t="shared" ref="G12:G13" si="9">3199+203</f>
        <v>3402</v>
      </c>
      <c r="H12">
        <v>2.9355000000000002</v>
      </c>
      <c r="I12">
        <v>1.28</v>
      </c>
      <c r="J12">
        <v>1</v>
      </c>
      <c r="K12">
        <f t="shared" si="5"/>
        <v>12782.810880000001</v>
      </c>
      <c r="L12">
        <v>200</v>
      </c>
      <c r="M12">
        <v>2.38</v>
      </c>
      <c r="N12">
        <f t="shared" si="6"/>
        <v>3.9254545454545453</v>
      </c>
      <c r="O12">
        <v>0</v>
      </c>
      <c r="P12">
        <v>0.85</v>
      </c>
      <c r="Q12">
        <v>3.02</v>
      </c>
      <c r="R12">
        <f t="shared" si="7"/>
        <v>3.5669999999999997</v>
      </c>
      <c r="S12">
        <v>0.9</v>
      </c>
      <c r="T12">
        <v>1</v>
      </c>
      <c r="U12">
        <f t="shared" si="8"/>
        <v>161087.5347659094</v>
      </c>
    </row>
    <row r="13" spans="1:22" x14ac:dyDescent="0.3">
      <c r="F13" t="s">
        <v>17</v>
      </c>
      <c r="G13">
        <f t="shared" si="9"/>
        <v>3402</v>
      </c>
      <c r="H13">
        <v>2.9355000000000002</v>
      </c>
      <c r="I13">
        <v>1.28</v>
      </c>
      <c r="J13">
        <v>1</v>
      </c>
      <c r="K13">
        <f t="shared" si="5"/>
        <v>12782.810880000001</v>
      </c>
      <c r="L13">
        <v>200</v>
      </c>
      <c r="M13">
        <v>2.38</v>
      </c>
      <c r="N13">
        <f t="shared" si="6"/>
        <v>3.9254545454545453</v>
      </c>
      <c r="O13">
        <v>0</v>
      </c>
      <c r="P13">
        <v>0.85</v>
      </c>
      <c r="Q13">
        <v>3.22</v>
      </c>
      <c r="R13">
        <f t="shared" si="7"/>
        <v>3.7370000000000001</v>
      </c>
      <c r="S13">
        <v>0.9</v>
      </c>
      <c r="T13">
        <v>1</v>
      </c>
      <c r="U13">
        <f t="shared" si="8"/>
        <v>168764.82125601446</v>
      </c>
    </row>
    <row r="14" spans="1:22" x14ac:dyDescent="0.3">
      <c r="F14" t="s">
        <v>17</v>
      </c>
      <c r="G14">
        <f>3199</f>
        <v>3199</v>
      </c>
      <c r="H14">
        <v>2.9355000000000002</v>
      </c>
      <c r="I14">
        <v>1.28</v>
      </c>
      <c r="J14">
        <v>1</v>
      </c>
      <c r="K14">
        <f t="shared" si="5"/>
        <v>12020.050560000001</v>
      </c>
      <c r="L14">
        <v>200</v>
      </c>
      <c r="M14">
        <v>1.88</v>
      </c>
      <c r="N14">
        <f t="shared" si="6"/>
        <v>3.4254545454545453</v>
      </c>
      <c r="O14">
        <v>0</v>
      </c>
      <c r="P14">
        <v>0.85</v>
      </c>
      <c r="Q14">
        <v>3.22</v>
      </c>
      <c r="R14">
        <f t="shared" si="7"/>
        <v>3.7370000000000001</v>
      </c>
      <c r="S14">
        <v>0.9</v>
      </c>
      <c r="T14">
        <v>1</v>
      </c>
      <c r="U14">
        <f t="shared" si="8"/>
        <v>138480.974391411</v>
      </c>
    </row>
    <row r="15" spans="1:22" x14ac:dyDescent="0.3">
      <c r="F15" t="s">
        <v>17</v>
      </c>
      <c r="G15">
        <f>3199</f>
        <v>3199</v>
      </c>
      <c r="H15">
        <v>2.9355000000000002</v>
      </c>
      <c r="I15">
        <v>1.28</v>
      </c>
      <c r="J15">
        <v>1</v>
      </c>
      <c r="K15">
        <f t="shared" si="5"/>
        <v>12020.050560000001</v>
      </c>
      <c r="L15">
        <v>200</v>
      </c>
      <c r="M15">
        <v>1.88</v>
      </c>
      <c r="N15">
        <f t="shared" si="6"/>
        <v>3.4254545454545453</v>
      </c>
      <c r="O15">
        <v>0</v>
      </c>
      <c r="P15">
        <v>0.85</v>
      </c>
      <c r="Q15">
        <v>3.22</v>
      </c>
      <c r="R15">
        <f t="shared" si="7"/>
        <v>3.7370000000000001</v>
      </c>
      <c r="S15">
        <v>0.9</v>
      </c>
      <c r="T15">
        <v>1</v>
      </c>
      <c r="U15">
        <f t="shared" si="8"/>
        <v>138480.974391411</v>
      </c>
    </row>
    <row r="16" spans="1:22" x14ac:dyDescent="0.3">
      <c r="F16" s="6" t="s">
        <v>19</v>
      </c>
      <c r="G16">
        <f>3199</f>
        <v>3199</v>
      </c>
      <c r="H16">
        <v>0.58320000000000005</v>
      </c>
      <c r="I16">
        <v>1.28</v>
      </c>
      <c r="J16">
        <v>4</v>
      </c>
      <c r="K16">
        <f t="shared" si="5"/>
        <v>9552.1628160000018</v>
      </c>
      <c r="L16">
        <v>200</v>
      </c>
      <c r="M16">
        <v>1.88</v>
      </c>
      <c r="N16">
        <f t="shared" si="6"/>
        <v>3.4254545454545453</v>
      </c>
      <c r="O16">
        <v>0</v>
      </c>
      <c r="P16">
        <v>0.85</v>
      </c>
      <c r="Q16">
        <v>2.2200000000000002</v>
      </c>
      <c r="R16">
        <f t="shared" si="7"/>
        <v>2.887</v>
      </c>
      <c r="S16">
        <v>0.9</v>
      </c>
      <c r="T16">
        <v>1</v>
      </c>
      <c r="U16">
        <f t="shared" si="8"/>
        <v>85017.673946958763</v>
      </c>
    </row>
    <row r="18" spans="6:22" x14ac:dyDescent="0.3">
      <c r="G18" t="s">
        <v>1</v>
      </c>
      <c r="H18" t="s">
        <v>5</v>
      </c>
      <c r="I18" t="s">
        <v>7</v>
      </c>
      <c r="J18" t="s">
        <v>7</v>
      </c>
      <c r="K18" t="s">
        <v>8</v>
      </c>
      <c r="L18" t="s">
        <v>22</v>
      </c>
      <c r="M18" t="s">
        <v>0</v>
      </c>
      <c r="N18" t="s">
        <v>11</v>
      </c>
      <c r="O18" t="s">
        <v>12</v>
      </c>
      <c r="P18" t="s">
        <v>13</v>
      </c>
      <c r="Q18" t="s">
        <v>15</v>
      </c>
      <c r="R18" t="s">
        <v>23</v>
      </c>
      <c r="S18" t="s">
        <v>24</v>
      </c>
      <c r="T18" t="s">
        <v>16</v>
      </c>
    </row>
    <row r="19" spans="6:22" x14ac:dyDescent="0.3">
      <c r="G19">
        <f>3199+488+203</f>
        <v>3890</v>
      </c>
      <c r="H19">
        <v>1.03</v>
      </c>
      <c r="I19">
        <v>1</v>
      </c>
      <c r="J19">
        <v>1</v>
      </c>
      <c r="K19">
        <f>G19*H19*I19*J19</f>
        <v>4006.7000000000003</v>
      </c>
      <c r="L19">
        <v>1</v>
      </c>
      <c r="M19">
        <v>0.85</v>
      </c>
      <c r="N19">
        <v>2.2200000000000002</v>
      </c>
      <c r="O19">
        <f>1+M19*N19</f>
        <v>2.887</v>
      </c>
      <c r="P19">
        <v>1.1499999999999999</v>
      </c>
      <c r="Q19">
        <f>K19*L19*O19*P19</f>
        <v>13302.444335</v>
      </c>
      <c r="R19">
        <v>18</v>
      </c>
      <c r="S19">
        <f>Q19*R19</f>
        <v>239443.99803000002</v>
      </c>
      <c r="T19">
        <f>SUM(S19:S25)</f>
        <v>477229.50194949005</v>
      </c>
    </row>
    <row r="20" spans="6:22" x14ac:dyDescent="0.3">
      <c r="G20">
        <f t="shared" ref="G20:G21" si="10">3199+488+203</f>
        <v>3890</v>
      </c>
      <c r="H20">
        <v>1.5879000000000001</v>
      </c>
      <c r="I20">
        <v>3</v>
      </c>
      <c r="J20">
        <v>1</v>
      </c>
      <c r="K20">
        <f t="shared" ref="K20:K21" si="11">G20*H20*I20*J20</f>
        <v>18530.793000000001</v>
      </c>
      <c r="L20">
        <v>1</v>
      </c>
      <c r="M20">
        <v>0.85</v>
      </c>
      <c r="N20">
        <v>2.2200000000000002</v>
      </c>
      <c r="O20">
        <f t="shared" ref="O20:O21" si="12">1+M20*N20</f>
        <v>2.887</v>
      </c>
      <c r="P20">
        <v>1.1499999999999999</v>
      </c>
      <c r="Q20">
        <f t="shared" ref="Q20:Q21" si="13">K20*L20*O20*P20</f>
        <v>61523.159299650004</v>
      </c>
      <c r="R20">
        <v>1</v>
      </c>
      <c r="S20">
        <f t="shared" ref="S20:S21" si="14">Q20*R20</f>
        <v>61523.159299650004</v>
      </c>
    </row>
    <row r="21" spans="6:22" x14ac:dyDescent="0.3">
      <c r="G21">
        <f t="shared" si="10"/>
        <v>3890</v>
      </c>
      <c r="H21">
        <v>0.58320000000000005</v>
      </c>
      <c r="I21">
        <v>1</v>
      </c>
      <c r="J21">
        <v>1</v>
      </c>
      <c r="K21">
        <f t="shared" si="11"/>
        <v>2268.6480000000001</v>
      </c>
      <c r="L21">
        <v>1</v>
      </c>
      <c r="M21">
        <v>0.85</v>
      </c>
      <c r="N21">
        <v>2.2200000000000002</v>
      </c>
      <c r="O21">
        <f t="shared" si="12"/>
        <v>2.887</v>
      </c>
      <c r="P21">
        <v>1.1499999999999999</v>
      </c>
      <c r="Q21">
        <f t="shared" si="13"/>
        <v>7532.0247923999996</v>
      </c>
      <c r="R21">
        <v>1</v>
      </c>
      <c r="S21">
        <f t="shared" si="14"/>
        <v>7532.0247923999996</v>
      </c>
    </row>
    <row r="22" spans="6:22" x14ac:dyDescent="0.3">
      <c r="G22">
        <f>G11</f>
        <v>3402</v>
      </c>
      <c r="H22">
        <v>1.03</v>
      </c>
      <c r="I22">
        <v>1</v>
      </c>
      <c r="J22">
        <v>1</v>
      </c>
      <c r="K22">
        <f>G22*H22*I22*J22</f>
        <v>3504.06</v>
      </c>
      <c r="L22">
        <v>1</v>
      </c>
      <c r="M22">
        <v>0.85</v>
      </c>
      <c r="N22">
        <v>2.2200000000000002</v>
      </c>
      <c r="O22">
        <f>1+M22*N22</f>
        <v>2.887</v>
      </c>
      <c r="P22">
        <v>0.9</v>
      </c>
      <c r="Q22">
        <f>K22*L22*O22*P22</f>
        <v>9104.5990980000006</v>
      </c>
      <c r="R22">
        <v>18</v>
      </c>
      <c r="S22">
        <f>Q22*R22</f>
        <v>163882.78376400002</v>
      </c>
    </row>
    <row r="23" spans="6:22" x14ac:dyDescent="0.3">
      <c r="G23">
        <f>G16</f>
        <v>3199</v>
      </c>
      <c r="H23">
        <v>0.58320000000000005</v>
      </c>
      <c r="I23">
        <v>1</v>
      </c>
      <c r="J23">
        <v>1</v>
      </c>
      <c r="K23">
        <f t="shared" ref="K23" si="15">G23*H23*I23*J23</f>
        <v>1865.6568000000002</v>
      </c>
      <c r="L23">
        <v>1</v>
      </c>
      <c r="M23">
        <v>0.85</v>
      </c>
      <c r="N23">
        <v>2.2200000000000002</v>
      </c>
      <c r="O23">
        <f t="shared" ref="O23" si="16">1+M23*N23</f>
        <v>2.887</v>
      </c>
      <c r="P23">
        <v>0.9</v>
      </c>
      <c r="Q23">
        <f t="shared" ref="Q23" si="17">K23*L23*O23*P23</f>
        <v>4847.5360634400004</v>
      </c>
      <c r="R23">
        <v>1</v>
      </c>
      <c r="S23">
        <f t="shared" ref="S23" si="18">Q23*R23</f>
        <v>4847.5360634400004</v>
      </c>
    </row>
    <row r="24" spans="6:22" ht="14.5" thickBot="1" x14ac:dyDescent="0.35"/>
    <row r="25" spans="6:22" x14ac:dyDescent="0.3">
      <c r="F25" s="19" t="s">
        <v>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  <row r="26" spans="6:22" x14ac:dyDescent="0.3">
      <c r="F26" s="6" t="s">
        <v>4</v>
      </c>
      <c r="G26" t="s">
        <v>1</v>
      </c>
      <c r="H26" t="s">
        <v>5</v>
      </c>
      <c r="I26" t="s">
        <v>6</v>
      </c>
      <c r="J26" t="s">
        <v>7</v>
      </c>
      <c r="K26" t="s">
        <v>8</v>
      </c>
      <c r="L26" t="s">
        <v>2</v>
      </c>
      <c r="M26" t="s">
        <v>18</v>
      </c>
      <c r="N26" t="s">
        <v>9</v>
      </c>
      <c r="O26" t="s">
        <v>10</v>
      </c>
      <c r="P26" t="s">
        <v>0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V26" s="7" t="s">
        <v>16</v>
      </c>
    </row>
    <row r="27" spans="6:22" x14ac:dyDescent="0.3">
      <c r="F27" s="6" t="s">
        <v>32</v>
      </c>
      <c r="G27">
        <v>2604</v>
      </c>
      <c r="H27">
        <v>8.2554999999999996</v>
      </c>
      <c r="I27">
        <v>1.28</v>
      </c>
      <c r="J27">
        <f>16*0.015+1</f>
        <v>1.24</v>
      </c>
      <c r="K27">
        <f>G27*H27*I27*J27</f>
        <v>34120.549478399997</v>
      </c>
      <c r="L27">
        <v>20</v>
      </c>
      <c r="M27">
        <v>1.1000000000000001</v>
      </c>
      <c r="N27">
        <f>1+6*L27/(L27+2000)+M27</f>
        <v>2.1594059405940595</v>
      </c>
      <c r="O27">
        <v>0</v>
      </c>
      <c r="P27">
        <v>0.93</v>
      </c>
      <c r="Q27">
        <v>2.2999999999999998</v>
      </c>
      <c r="R27">
        <f>1+P27*Q27</f>
        <v>3.1389999999999998</v>
      </c>
      <c r="S27">
        <v>0.9</v>
      </c>
      <c r="T27">
        <v>1</v>
      </c>
      <c r="U27">
        <f>(K27*N27+O27)*R27*S27*T27</f>
        <v>208153.69921469712</v>
      </c>
      <c r="V27" s="7">
        <f>SUM(U27:U36)</f>
        <v>449480.94105772296</v>
      </c>
    </row>
    <row r="28" spans="6:22" x14ac:dyDescent="0.3">
      <c r="F28" s="6" t="s">
        <v>33</v>
      </c>
      <c r="G28">
        <f>189+2604</f>
        <v>2793</v>
      </c>
      <c r="H28">
        <v>0.72950000000000004</v>
      </c>
      <c r="I28">
        <v>1.28</v>
      </c>
      <c r="J28">
        <f>17*0.015+1</f>
        <v>1.2549999999999999</v>
      </c>
      <c r="K28">
        <f t="shared" ref="K28:K36" si="19">G28*H28*I28*J28</f>
        <v>3273.0295584</v>
      </c>
      <c r="L28">
        <v>20</v>
      </c>
      <c r="M28">
        <v>1.3</v>
      </c>
      <c r="N28">
        <f t="shared" ref="N28:N36" si="20">1+6*L28/(L28+2000)+M28</f>
        <v>2.3594059405940593</v>
      </c>
      <c r="O28">
        <v>0</v>
      </c>
      <c r="P28">
        <v>0.93</v>
      </c>
      <c r="Q28">
        <v>2.2999999999999998</v>
      </c>
      <c r="R28">
        <f t="shared" ref="R28:R36" si="21">1+P28*Q28</f>
        <v>3.1389999999999998</v>
      </c>
      <c r="S28">
        <v>0.9</v>
      </c>
      <c r="T28">
        <v>1</v>
      </c>
      <c r="U28">
        <f t="shared" ref="U28:U36" si="22">(K28*N28+O28)*R28*S28*T28</f>
        <v>21816.567449855054</v>
      </c>
      <c r="V28" s="7"/>
    </row>
    <row r="29" spans="6:22" x14ac:dyDescent="0.3">
      <c r="F29" s="6" t="s">
        <v>34</v>
      </c>
      <c r="G29">
        <f t="shared" ref="G29:G35" si="23">189+2604</f>
        <v>2793</v>
      </c>
      <c r="H29">
        <v>0.87239999999999995</v>
      </c>
      <c r="I29">
        <v>1.28</v>
      </c>
      <c r="J29">
        <f t="shared" ref="J29:J35" si="24">17*0.015+1</f>
        <v>1.2549999999999999</v>
      </c>
      <c r="K29">
        <f t="shared" si="19"/>
        <v>3914.175444479999</v>
      </c>
      <c r="L29">
        <v>20</v>
      </c>
      <c r="M29">
        <v>1.3</v>
      </c>
      <c r="N29">
        <f t="shared" si="20"/>
        <v>2.3594059405940593</v>
      </c>
      <c r="O29">
        <v>0</v>
      </c>
      <c r="P29">
        <v>0.93</v>
      </c>
      <c r="Q29">
        <v>2.2999999999999998</v>
      </c>
      <c r="R29">
        <f t="shared" si="21"/>
        <v>3.1389999999999998</v>
      </c>
      <c r="S29">
        <v>1.1499999999999999</v>
      </c>
      <c r="T29">
        <v>1</v>
      </c>
      <c r="U29">
        <f t="shared" si="22"/>
        <v>33337.429685083509</v>
      </c>
      <c r="V29" s="7"/>
    </row>
    <row r="30" spans="6:22" x14ac:dyDescent="0.3">
      <c r="F30" s="6" t="s">
        <v>35</v>
      </c>
      <c r="G30">
        <f t="shared" si="23"/>
        <v>2793</v>
      </c>
      <c r="H30">
        <v>0.72950000000000004</v>
      </c>
      <c r="I30">
        <v>1.28</v>
      </c>
      <c r="J30">
        <f t="shared" si="24"/>
        <v>1.2549999999999999</v>
      </c>
      <c r="K30">
        <f t="shared" si="19"/>
        <v>3273.0295584</v>
      </c>
      <c r="L30">
        <v>20</v>
      </c>
      <c r="M30">
        <v>1.3</v>
      </c>
      <c r="N30">
        <f t="shared" si="20"/>
        <v>2.3594059405940593</v>
      </c>
      <c r="O30">
        <v>0</v>
      </c>
      <c r="P30">
        <v>0.93</v>
      </c>
      <c r="Q30">
        <v>2.2999999999999998</v>
      </c>
      <c r="R30">
        <f t="shared" si="21"/>
        <v>3.1389999999999998</v>
      </c>
      <c r="S30">
        <v>1.1499999999999999</v>
      </c>
      <c r="T30">
        <v>1</v>
      </c>
      <c r="U30">
        <f t="shared" si="22"/>
        <v>27876.725074814789</v>
      </c>
      <c r="V30" s="7"/>
    </row>
    <row r="31" spans="6:22" x14ac:dyDescent="0.3">
      <c r="F31" s="6" t="s">
        <v>36</v>
      </c>
      <c r="G31">
        <f t="shared" si="23"/>
        <v>2793</v>
      </c>
      <c r="H31">
        <v>0.87239999999999995</v>
      </c>
      <c r="I31">
        <v>1.28</v>
      </c>
      <c r="J31">
        <f t="shared" si="24"/>
        <v>1.2549999999999999</v>
      </c>
      <c r="K31">
        <f t="shared" si="19"/>
        <v>3914.175444479999</v>
      </c>
      <c r="L31">
        <v>20</v>
      </c>
      <c r="M31">
        <v>1.3</v>
      </c>
      <c r="N31">
        <f t="shared" si="20"/>
        <v>2.3594059405940593</v>
      </c>
      <c r="O31">
        <v>0</v>
      </c>
      <c r="P31">
        <v>0.93</v>
      </c>
      <c r="Q31">
        <v>2.2999999999999998</v>
      </c>
      <c r="R31">
        <f t="shared" si="21"/>
        <v>3.1389999999999998</v>
      </c>
      <c r="S31">
        <v>1.1499999999999999</v>
      </c>
      <c r="T31">
        <v>1</v>
      </c>
      <c r="U31">
        <f t="shared" si="22"/>
        <v>33337.429685083509</v>
      </c>
      <c r="V31" s="7"/>
    </row>
    <row r="32" spans="6:22" x14ac:dyDescent="0.3">
      <c r="F32" s="6" t="s">
        <v>37</v>
      </c>
      <c r="G32">
        <f t="shared" si="23"/>
        <v>2793</v>
      </c>
      <c r="H32">
        <v>0.72950000000000004</v>
      </c>
      <c r="I32">
        <v>1.28</v>
      </c>
      <c r="J32">
        <f t="shared" si="24"/>
        <v>1.2549999999999999</v>
      </c>
      <c r="K32">
        <f t="shared" si="19"/>
        <v>3273.0295584</v>
      </c>
      <c r="L32">
        <v>20</v>
      </c>
      <c r="M32">
        <v>1.3</v>
      </c>
      <c r="N32">
        <f t="shared" si="20"/>
        <v>2.3594059405940593</v>
      </c>
      <c r="O32">
        <v>0</v>
      </c>
      <c r="P32">
        <v>0.93</v>
      </c>
      <c r="Q32">
        <v>2.2999999999999998</v>
      </c>
      <c r="R32">
        <f t="shared" si="21"/>
        <v>3.1389999999999998</v>
      </c>
      <c r="S32">
        <v>1.1499999999999999</v>
      </c>
      <c r="T32">
        <v>1</v>
      </c>
      <c r="U32">
        <f t="shared" si="22"/>
        <v>27876.725074814789</v>
      </c>
      <c r="V32" s="7"/>
    </row>
    <row r="33" spans="6:22" x14ac:dyDescent="0.3">
      <c r="F33" s="6" t="s">
        <v>38</v>
      </c>
      <c r="G33">
        <f t="shared" si="23"/>
        <v>2793</v>
      </c>
      <c r="H33">
        <v>0.87239999999999995</v>
      </c>
      <c r="I33">
        <v>1.28</v>
      </c>
      <c r="J33">
        <f t="shared" si="24"/>
        <v>1.2549999999999999</v>
      </c>
      <c r="K33">
        <f t="shared" si="19"/>
        <v>3914.175444479999</v>
      </c>
      <c r="L33">
        <v>20</v>
      </c>
      <c r="M33">
        <v>1.3</v>
      </c>
      <c r="N33">
        <f t="shared" si="20"/>
        <v>2.3594059405940593</v>
      </c>
      <c r="O33">
        <v>0</v>
      </c>
      <c r="P33">
        <v>0.93</v>
      </c>
      <c r="Q33">
        <v>2.2999999999999998</v>
      </c>
      <c r="R33">
        <f t="shared" si="21"/>
        <v>3.1389999999999998</v>
      </c>
      <c r="S33">
        <v>1.1499999999999999</v>
      </c>
      <c r="T33">
        <v>1</v>
      </c>
      <c r="U33">
        <f t="shared" si="22"/>
        <v>33337.429685083509</v>
      </c>
      <c r="V33" s="7"/>
    </row>
    <row r="34" spans="6:22" x14ac:dyDescent="0.3">
      <c r="F34" s="6" t="s">
        <v>39</v>
      </c>
      <c r="G34">
        <f t="shared" si="23"/>
        <v>2793</v>
      </c>
      <c r="H34">
        <v>0.72950000000000004</v>
      </c>
      <c r="I34">
        <v>1.28</v>
      </c>
      <c r="J34">
        <f t="shared" si="24"/>
        <v>1.2549999999999999</v>
      </c>
      <c r="K34">
        <f t="shared" si="19"/>
        <v>3273.0295584</v>
      </c>
      <c r="L34">
        <v>20</v>
      </c>
      <c r="M34">
        <v>1.3</v>
      </c>
      <c r="N34">
        <f t="shared" si="20"/>
        <v>2.3594059405940593</v>
      </c>
      <c r="O34">
        <v>0</v>
      </c>
      <c r="P34">
        <v>0.93</v>
      </c>
      <c r="Q34">
        <v>2.2999999999999998</v>
      </c>
      <c r="R34">
        <f t="shared" si="21"/>
        <v>3.1389999999999998</v>
      </c>
      <c r="S34">
        <v>0.9</v>
      </c>
      <c r="T34">
        <v>1</v>
      </c>
      <c r="U34">
        <f t="shared" si="22"/>
        <v>21816.567449855054</v>
      </c>
      <c r="V34" s="7"/>
    </row>
    <row r="35" spans="6:22" x14ac:dyDescent="0.3">
      <c r="F35" s="6" t="s">
        <v>40</v>
      </c>
      <c r="G35">
        <f t="shared" si="23"/>
        <v>2793</v>
      </c>
      <c r="H35">
        <v>0.87239999999999995</v>
      </c>
      <c r="I35">
        <v>1.28</v>
      </c>
      <c r="J35">
        <f t="shared" si="24"/>
        <v>1.2549999999999999</v>
      </c>
      <c r="K35">
        <f t="shared" si="19"/>
        <v>3914.175444479999</v>
      </c>
      <c r="L35">
        <v>20</v>
      </c>
      <c r="M35">
        <v>1.3</v>
      </c>
      <c r="N35">
        <f t="shared" si="20"/>
        <v>2.3594059405940593</v>
      </c>
      <c r="O35">
        <v>0</v>
      </c>
      <c r="P35">
        <v>0.93</v>
      </c>
      <c r="Q35">
        <v>2.2999999999999998</v>
      </c>
      <c r="R35">
        <f t="shared" si="21"/>
        <v>3.1389999999999998</v>
      </c>
      <c r="S35">
        <v>0.9</v>
      </c>
      <c r="T35">
        <v>1</v>
      </c>
      <c r="U35">
        <f t="shared" si="22"/>
        <v>26090.162362239269</v>
      </c>
      <c r="V35" s="7"/>
    </row>
    <row r="36" spans="6:22" x14ac:dyDescent="0.3">
      <c r="F36" s="6" t="s">
        <v>41</v>
      </c>
      <c r="G36">
        <v>2604</v>
      </c>
      <c r="H36">
        <v>0.72950000000000004</v>
      </c>
      <c r="I36">
        <v>1.28</v>
      </c>
      <c r="J36">
        <v>1.24</v>
      </c>
      <c r="K36">
        <f t="shared" si="19"/>
        <v>3015.0736896000003</v>
      </c>
      <c r="L36">
        <v>20</v>
      </c>
      <c r="M36">
        <v>0.8</v>
      </c>
      <c r="N36">
        <f t="shared" si="20"/>
        <v>1.8594059405940595</v>
      </c>
      <c r="O36">
        <v>0</v>
      </c>
      <c r="P36">
        <v>0.93</v>
      </c>
      <c r="Q36">
        <v>2.2999999999999998</v>
      </c>
      <c r="R36">
        <f t="shared" si="21"/>
        <v>3.1389999999999998</v>
      </c>
      <c r="S36">
        <v>0.9</v>
      </c>
      <c r="T36">
        <v>1</v>
      </c>
      <c r="U36">
        <f t="shared" si="22"/>
        <v>15838.205376196307</v>
      </c>
      <c r="V36" s="7"/>
    </row>
    <row r="37" spans="6:22" x14ac:dyDescent="0.3">
      <c r="F37" s="6"/>
      <c r="V37" s="7"/>
    </row>
    <row r="38" spans="6:22" x14ac:dyDescent="0.3">
      <c r="F38" s="6"/>
      <c r="G38" t="s">
        <v>1</v>
      </c>
      <c r="H38" t="s">
        <v>5</v>
      </c>
      <c r="I38" t="s">
        <v>7</v>
      </c>
      <c r="J38" t="s">
        <v>7</v>
      </c>
      <c r="K38" t="s">
        <v>8</v>
      </c>
      <c r="L38" t="s">
        <v>22</v>
      </c>
      <c r="M38" t="s">
        <v>0</v>
      </c>
      <c r="N38" t="s">
        <v>11</v>
      </c>
      <c r="O38" t="s">
        <v>12</v>
      </c>
      <c r="P38" t="s">
        <v>13</v>
      </c>
      <c r="Q38" t="s">
        <v>15</v>
      </c>
      <c r="R38" t="s">
        <v>23</v>
      </c>
      <c r="S38" t="s">
        <v>24</v>
      </c>
      <c r="T38" t="s">
        <v>16</v>
      </c>
      <c r="V38" s="7"/>
    </row>
    <row r="39" spans="6:22" x14ac:dyDescent="0.3">
      <c r="F39" s="6"/>
      <c r="G39">
        <f>G27</f>
        <v>2604</v>
      </c>
      <c r="H39">
        <v>1.9454</v>
      </c>
      <c r="I39">
        <v>1</v>
      </c>
      <c r="J39">
        <v>1</v>
      </c>
      <c r="K39">
        <f>G39*H39*I39*J39</f>
        <v>5065.8216000000002</v>
      </c>
      <c r="L39">
        <v>1</v>
      </c>
      <c r="M39">
        <v>0.93</v>
      </c>
      <c r="N39">
        <v>2.2999999999999998</v>
      </c>
      <c r="O39">
        <f>1+M39*N39</f>
        <v>3.1389999999999998</v>
      </c>
      <c r="P39">
        <v>0.9</v>
      </c>
      <c r="Q39">
        <f>K39*L39*O39*P39</f>
        <v>14311.45260216</v>
      </c>
      <c r="R39">
        <v>1</v>
      </c>
      <c r="S39">
        <f>Q39*R39</f>
        <v>14311.45260216</v>
      </c>
      <c r="T39">
        <f>SUM(S39:S40)</f>
        <v>136818.63331352998</v>
      </c>
      <c r="V39" s="7"/>
    </row>
    <row r="40" spans="6:22" ht="14.5" thickBot="1" x14ac:dyDescent="0.35">
      <c r="F40" s="8"/>
      <c r="G40" s="9">
        <f>G31</f>
        <v>2793</v>
      </c>
      <c r="H40" s="9">
        <v>1.7251000000000001</v>
      </c>
      <c r="I40" s="9">
        <v>1</v>
      </c>
      <c r="J40" s="9">
        <v>1</v>
      </c>
      <c r="K40" s="9">
        <f>G40*H40*I40*J40</f>
        <v>4818.2043000000003</v>
      </c>
      <c r="L40" s="9">
        <v>1</v>
      </c>
      <c r="M40" s="9">
        <v>0.93</v>
      </c>
      <c r="N40" s="9">
        <v>2.2999999999999998</v>
      </c>
      <c r="O40" s="9">
        <f>1+M40*N40</f>
        <v>3.1389999999999998</v>
      </c>
      <c r="P40" s="9">
        <v>0.9</v>
      </c>
      <c r="Q40" s="9">
        <f>K40*L40*O40*P40</f>
        <v>13611.90896793</v>
      </c>
      <c r="R40" s="9">
        <v>9</v>
      </c>
      <c r="S40" s="9">
        <f>Q40*R40</f>
        <v>122507.18071136999</v>
      </c>
      <c r="T40" s="9"/>
      <c r="U40" s="9"/>
      <c r="V40" s="10"/>
    </row>
    <row r="42" spans="6:22" ht="14.5" thickBot="1" x14ac:dyDescent="0.35">
      <c r="F42" s="22" t="s">
        <v>53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 spans="6:22" x14ac:dyDescent="0.3">
      <c r="F43" s="3"/>
      <c r="G43" s="4" t="s">
        <v>42</v>
      </c>
      <c r="H43" s="4" t="s">
        <v>43</v>
      </c>
      <c r="I43" s="4" t="s">
        <v>6</v>
      </c>
      <c r="J43" s="4" t="s">
        <v>2</v>
      </c>
      <c r="K43" s="4" t="s">
        <v>18</v>
      </c>
      <c r="L43" s="4" t="s">
        <v>9</v>
      </c>
      <c r="M43" s="4" t="s">
        <v>0</v>
      </c>
      <c r="N43" s="4" t="s">
        <v>11</v>
      </c>
      <c r="O43" s="4" t="s">
        <v>12</v>
      </c>
      <c r="P43" s="4" t="s">
        <v>13</v>
      </c>
      <c r="Q43" s="4" t="s">
        <v>14</v>
      </c>
      <c r="R43" s="4" t="s">
        <v>48</v>
      </c>
      <c r="S43" s="4" t="s">
        <v>49</v>
      </c>
      <c r="T43" s="4" t="s">
        <v>51</v>
      </c>
      <c r="U43" s="5" t="s">
        <v>16</v>
      </c>
    </row>
    <row r="44" spans="6:22" x14ac:dyDescent="0.3">
      <c r="F44" s="6" t="s">
        <v>44</v>
      </c>
      <c r="G44">
        <v>1446.85</v>
      </c>
      <c r="H44">
        <v>2</v>
      </c>
      <c r="I44">
        <v>1.28</v>
      </c>
      <c r="J44">
        <v>200</v>
      </c>
      <c r="K44">
        <v>2.38</v>
      </c>
      <c r="L44">
        <f>1+6*J44/(J44+2000)+K44</f>
        <v>3.9254545454545453</v>
      </c>
      <c r="M44">
        <v>0.85</v>
      </c>
      <c r="N44">
        <v>2.2200000000000002</v>
      </c>
      <c r="O44">
        <f>1+M44*N44</f>
        <v>2.887</v>
      </c>
      <c r="P44">
        <v>1.1499999999999999</v>
      </c>
      <c r="Q44">
        <v>1</v>
      </c>
      <c r="R44">
        <v>0.6</v>
      </c>
      <c r="S44">
        <f>G44*H44*I44*L44*O44*P44*Q44*R44</f>
        <v>28963.383944259487</v>
      </c>
      <c r="T44">
        <v>2</v>
      </c>
      <c r="U44" s="7">
        <f>T46*T44</f>
        <v>73393.794043504793</v>
      </c>
    </row>
    <row r="45" spans="6:22" x14ac:dyDescent="0.3">
      <c r="F45" s="6" t="s">
        <v>45</v>
      </c>
      <c r="G45">
        <v>1446.85</v>
      </c>
      <c r="H45">
        <v>2</v>
      </c>
      <c r="I45">
        <v>1.28</v>
      </c>
      <c r="J45">
        <v>0</v>
      </c>
      <c r="K45">
        <v>1.9</v>
      </c>
      <c r="L45">
        <f t="shared" ref="L45:L47" si="25">1+6*J45/(J45+2000)+K45</f>
        <v>2.9</v>
      </c>
      <c r="M45">
        <v>0.5</v>
      </c>
      <c r="N45">
        <v>1.5</v>
      </c>
      <c r="O45">
        <f t="shared" ref="O45:O47" si="26">1+M45*N45</f>
        <v>1.75</v>
      </c>
      <c r="P45">
        <v>0.9</v>
      </c>
      <c r="Q45">
        <v>1</v>
      </c>
      <c r="R45">
        <v>0.3</v>
      </c>
      <c r="S45">
        <f t="shared" ref="S45:S47" si="27">G45*H45*I45*L45*O45*P45*Q45*R45</f>
        <v>5075.3183039999994</v>
      </c>
      <c r="T45" t="s">
        <v>15</v>
      </c>
      <c r="U45" s="7"/>
    </row>
    <row r="46" spans="6:22" x14ac:dyDescent="0.3">
      <c r="F46" s="6" t="s">
        <v>46</v>
      </c>
      <c r="G46">
        <v>1446.85</v>
      </c>
      <c r="H46">
        <v>2</v>
      </c>
      <c r="I46">
        <v>1.28</v>
      </c>
      <c r="J46">
        <v>20</v>
      </c>
      <c r="K46">
        <v>1.3</v>
      </c>
      <c r="L46">
        <f t="shared" si="25"/>
        <v>2.3594059405940593</v>
      </c>
      <c r="M46">
        <v>0.93</v>
      </c>
      <c r="N46">
        <v>2.2999999999999998</v>
      </c>
      <c r="O46">
        <f t="shared" si="26"/>
        <v>3.1389999999999998</v>
      </c>
      <c r="P46">
        <v>1.1499999999999999</v>
      </c>
      <c r="Q46">
        <v>1</v>
      </c>
      <c r="R46">
        <v>0.05</v>
      </c>
      <c r="S46">
        <f t="shared" si="27"/>
        <v>1577.3399494929104</v>
      </c>
      <c r="T46">
        <f>SUM(S44:S47)</f>
        <v>36696.897021752397</v>
      </c>
      <c r="U46" s="7"/>
    </row>
    <row r="47" spans="6:22" x14ac:dyDescent="0.3">
      <c r="F47" s="6" t="s">
        <v>47</v>
      </c>
      <c r="G47">
        <v>1446.85</v>
      </c>
      <c r="H47">
        <v>2</v>
      </c>
      <c r="I47">
        <v>1.28</v>
      </c>
      <c r="J47">
        <v>0</v>
      </c>
      <c r="K47">
        <v>1.9</v>
      </c>
      <c r="L47">
        <f t="shared" si="25"/>
        <v>2.9</v>
      </c>
      <c r="M47">
        <v>0.5</v>
      </c>
      <c r="N47">
        <v>1.5</v>
      </c>
      <c r="O47">
        <f t="shared" si="26"/>
        <v>1.75</v>
      </c>
      <c r="P47">
        <v>1.1499999999999999</v>
      </c>
      <c r="Q47">
        <v>1</v>
      </c>
      <c r="R47">
        <v>0.05</v>
      </c>
      <c r="S47">
        <f t="shared" si="27"/>
        <v>1080.854824</v>
      </c>
      <c r="U47" s="7"/>
    </row>
    <row r="48" spans="6:22" x14ac:dyDescent="0.3">
      <c r="F48" s="6"/>
      <c r="U48" s="7"/>
    </row>
    <row r="49" spans="6:21" x14ac:dyDescent="0.3">
      <c r="F49" s="6"/>
      <c r="G49" t="s">
        <v>42</v>
      </c>
      <c r="H49" t="s">
        <v>43</v>
      </c>
      <c r="I49" t="s">
        <v>6</v>
      </c>
      <c r="J49" t="s">
        <v>2</v>
      </c>
      <c r="K49" t="s">
        <v>18</v>
      </c>
      <c r="L49" t="s">
        <v>9</v>
      </c>
      <c r="M49" t="s">
        <v>0</v>
      </c>
      <c r="N49" t="s">
        <v>11</v>
      </c>
      <c r="O49" t="s">
        <v>12</v>
      </c>
      <c r="P49" t="s">
        <v>13</v>
      </c>
      <c r="Q49" t="s">
        <v>14</v>
      </c>
      <c r="R49" t="s">
        <v>48</v>
      </c>
      <c r="S49" t="s">
        <v>49</v>
      </c>
      <c r="T49" t="s">
        <v>51</v>
      </c>
      <c r="U49" s="7" t="s">
        <v>16</v>
      </c>
    </row>
    <row r="50" spans="6:21" x14ac:dyDescent="0.3">
      <c r="F50" s="6" t="s">
        <v>44</v>
      </c>
      <c r="G50">
        <v>1446.85</v>
      </c>
      <c r="H50">
        <v>2</v>
      </c>
      <c r="I50">
        <v>1.28</v>
      </c>
      <c r="J50">
        <v>200</v>
      </c>
      <c r="K50">
        <v>2.38</v>
      </c>
      <c r="L50">
        <f>1+6*J50/(J50+2000)+K50</f>
        <v>3.9254545454545453</v>
      </c>
      <c r="M50">
        <v>0.85</v>
      </c>
      <c r="N50">
        <v>2.2200000000000002</v>
      </c>
      <c r="O50">
        <f>1+M50*N50</f>
        <v>2.887</v>
      </c>
      <c r="P50">
        <v>0.9</v>
      </c>
      <c r="Q50">
        <v>1</v>
      </c>
      <c r="R50">
        <v>0.6</v>
      </c>
      <c r="S50">
        <f>G50*H50*I50*L50*O50*P50*Q50*R50</f>
        <v>22666.996130290037</v>
      </c>
      <c r="T50">
        <v>2</v>
      </c>
      <c r="U50" s="7">
        <f>T52*T50</f>
        <v>59645.281557525501</v>
      </c>
    </row>
    <row r="51" spans="6:21" x14ac:dyDescent="0.3">
      <c r="F51" s="6" t="s">
        <v>45</v>
      </c>
      <c r="G51">
        <v>1446.85</v>
      </c>
      <c r="H51">
        <v>2</v>
      </c>
      <c r="I51">
        <v>1.28</v>
      </c>
      <c r="J51">
        <v>0</v>
      </c>
      <c r="K51">
        <v>1.9</v>
      </c>
      <c r="L51">
        <f t="shared" ref="L51:L53" si="28">1+6*J51/(J51+2000)+K51</f>
        <v>2.9</v>
      </c>
      <c r="M51">
        <v>0.5</v>
      </c>
      <c r="N51">
        <v>1.5</v>
      </c>
      <c r="O51">
        <f t="shared" ref="O51:O53" si="29">1+M51*N51</f>
        <v>1.75</v>
      </c>
      <c r="P51">
        <v>0.9</v>
      </c>
      <c r="Q51">
        <v>1</v>
      </c>
      <c r="R51">
        <v>0.3</v>
      </c>
      <c r="S51">
        <f t="shared" ref="S51:S53" si="30">G51*H51*I51*L51*O51*P51*Q51*R51</f>
        <v>5075.3183039999994</v>
      </c>
      <c r="T51" t="s">
        <v>15</v>
      </c>
      <c r="U51" s="7"/>
    </row>
    <row r="52" spans="6:21" x14ac:dyDescent="0.3">
      <c r="F52" s="6" t="s">
        <v>46</v>
      </c>
      <c r="G52">
        <v>1446.85</v>
      </c>
      <c r="H52">
        <v>2</v>
      </c>
      <c r="I52">
        <v>1.28</v>
      </c>
      <c r="J52">
        <v>20</v>
      </c>
      <c r="K52">
        <v>1.3</v>
      </c>
      <c r="L52">
        <f t="shared" si="28"/>
        <v>2.3594059405940593</v>
      </c>
      <c r="M52">
        <v>0.93</v>
      </c>
      <c r="N52">
        <v>2.2999999999999998</v>
      </c>
      <c r="O52">
        <f t="shared" si="29"/>
        <v>3.1389999999999998</v>
      </c>
      <c r="P52">
        <v>0.9</v>
      </c>
      <c r="Q52">
        <v>1</v>
      </c>
      <c r="R52">
        <v>0.05</v>
      </c>
      <c r="S52">
        <f t="shared" si="30"/>
        <v>1234.4399604727125</v>
      </c>
      <c r="T52">
        <f>SUM(S50:S53)</f>
        <v>29822.64077876275</v>
      </c>
      <c r="U52" s="7"/>
    </row>
    <row r="53" spans="6:21" ht="14.5" thickBot="1" x14ac:dyDescent="0.35">
      <c r="F53" s="8" t="s">
        <v>47</v>
      </c>
      <c r="G53" s="9">
        <v>1446.85</v>
      </c>
      <c r="H53" s="9">
        <v>2</v>
      </c>
      <c r="I53" s="9">
        <v>1.28</v>
      </c>
      <c r="J53" s="9">
        <v>0</v>
      </c>
      <c r="K53">
        <v>1.9</v>
      </c>
      <c r="L53" s="9">
        <f t="shared" si="28"/>
        <v>2.9</v>
      </c>
      <c r="M53">
        <v>0.5</v>
      </c>
      <c r="N53" s="9">
        <v>1.5</v>
      </c>
      <c r="O53" s="9">
        <f t="shared" si="29"/>
        <v>1.75</v>
      </c>
      <c r="P53" s="9">
        <v>0.9</v>
      </c>
      <c r="Q53" s="9">
        <v>1</v>
      </c>
      <c r="R53" s="9">
        <v>0.05</v>
      </c>
      <c r="S53" s="9">
        <f t="shared" si="30"/>
        <v>845.88638400000002</v>
      </c>
      <c r="T53" s="9"/>
      <c r="U53" s="10"/>
    </row>
    <row r="54" spans="6:21" ht="14.5" thickBot="1" x14ac:dyDescent="0.35">
      <c r="F54" s="23" t="s">
        <v>54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spans="6:21" x14ac:dyDescent="0.3">
      <c r="F55" s="3"/>
      <c r="G55" s="4" t="s">
        <v>42</v>
      </c>
      <c r="H55" s="4" t="s">
        <v>52</v>
      </c>
      <c r="I55" s="4" t="s">
        <v>6</v>
      </c>
      <c r="J55" s="4" t="s">
        <v>2</v>
      </c>
      <c r="K55" s="4" t="s">
        <v>18</v>
      </c>
      <c r="L55" s="4" t="s">
        <v>9</v>
      </c>
      <c r="M55" s="4" t="s">
        <v>0</v>
      </c>
      <c r="N55" s="4" t="s">
        <v>11</v>
      </c>
      <c r="O55" s="4" t="s">
        <v>12</v>
      </c>
      <c r="P55" s="4" t="s">
        <v>13</v>
      </c>
      <c r="Q55" s="4" t="s">
        <v>14</v>
      </c>
      <c r="R55" s="4" t="s">
        <v>48</v>
      </c>
      <c r="S55" s="4" t="s">
        <v>49</v>
      </c>
      <c r="T55" s="4" t="s">
        <v>51</v>
      </c>
      <c r="U55" s="5" t="s">
        <v>16</v>
      </c>
    </row>
    <row r="56" spans="6:21" x14ac:dyDescent="0.3">
      <c r="F56" s="6" t="s">
        <v>44</v>
      </c>
      <c r="G56">
        <v>1446.85</v>
      </c>
      <c r="H56">
        <v>0.75</v>
      </c>
      <c r="I56">
        <v>1.28</v>
      </c>
      <c r="J56">
        <v>0</v>
      </c>
      <c r="K56">
        <v>1.9</v>
      </c>
      <c r="L56">
        <f t="shared" ref="L56" si="31">1+6*J56/(J56+2000)+K56</f>
        <v>2.9</v>
      </c>
      <c r="M56">
        <v>0.5</v>
      </c>
      <c r="N56">
        <v>1.5</v>
      </c>
      <c r="O56">
        <f t="shared" ref="O56" si="32">1+M56*N56</f>
        <v>1.75</v>
      </c>
      <c r="P56">
        <v>0.9</v>
      </c>
      <c r="Q56">
        <v>1</v>
      </c>
      <c r="R56">
        <v>0.6</v>
      </c>
      <c r="S56">
        <f>G56*H56*I56*L56*O56*P56*Q56*R56</f>
        <v>3806.4887279999994</v>
      </c>
      <c r="T56">
        <v>4</v>
      </c>
      <c r="U56" s="7">
        <f>T58*T56</f>
        <v>40935.785030433974</v>
      </c>
    </row>
    <row r="57" spans="6:21" x14ac:dyDescent="0.3">
      <c r="F57" s="6" t="s">
        <v>45</v>
      </c>
      <c r="G57">
        <v>1446.85</v>
      </c>
      <c r="H57">
        <v>0.75</v>
      </c>
      <c r="I57">
        <v>1.28</v>
      </c>
      <c r="J57">
        <v>200</v>
      </c>
      <c r="K57">
        <v>2.38</v>
      </c>
      <c r="L57">
        <f>1+6*J57/(J57+2000)+K57</f>
        <v>3.9254545454545453</v>
      </c>
      <c r="M57">
        <v>0.85</v>
      </c>
      <c r="N57">
        <v>2.2200000000000002</v>
      </c>
      <c r="O57">
        <f>1+M57*N57</f>
        <v>2.887</v>
      </c>
      <c r="P57">
        <v>1.1499999999999999</v>
      </c>
      <c r="Q57">
        <v>1</v>
      </c>
      <c r="R57">
        <v>0.3</v>
      </c>
      <c r="S57">
        <f t="shared" ref="S57:S59" si="33">G57*H57*I57*L57*O57*P57*Q57*R57</f>
        <v>5430.6344895486536</v>
      </c>
      <c r="T57" t="s">
        <v>15</v>
      </c>
      <c r="U57" s="7"/>
    </row>
    <row r="58" spans="6:21" x14ac:dyDescent="0.3">
      <c r="F58" s="6" t="s">
        <v>46</v>
      </c>
      <c r="G58">
        <v>1446.85</v>
      </c>
      <c r="H58">
        <v>0.75</v>
      </c>
      <c r="I58">
        <v>1.28</v>
      </c>
      <c r="J58">
        <v>20</v>
      </c>
      <c r="K58">
        <v>1.3</v>
      </c>
      <c r="L58">
        <f t="shared" ref="L58:L59" si="34">1+6*J58/(J58+2000)+K58</f>
        <v>2.3594059405940593</v>
      </c>
      <c r="M58">
        <v>0.93</v>
      </c>
      <c r="N58">
        <v>2.2999999999999998</v>
      </c>
      <c r="O58">
        <f t="shared" ref="O58:O59" si="35">1+M58*N58</f>
        <v>3.1389999999999998</v>
      </c>
      <c r="P58">
        <v>1.1499999999999999</v>
      </c>
      <c r="Q58">
        <v>1</v>
      </c>
      <c r="R58">
        <v>0.05</v>
      </c>
      <c r="S58">
        <f t="shared" si="33"/>
        <v>591.50248105984144</v>
      </c>
      <c r="T58">
        <f>SUM(S56:S59)</f>
        <v>10233.946257608493</v>
      </c>
      <c r="U58" s="7"/>
    </row>
    <row r="59" spans="6:21" x14ac:dyDescent="0.3">
      <c r="F59" s="6" t="s">
        <v>47</v>
      </c>
      <c r="G59">
        <v>1446.85</v>
      </c>
      <c r="H59">
        <v>0.75</v>
      </c>
      <c r="I59">
        <v>1.28</v>
      </c>
      <c r="J59">
        <v>0</v>
      </c>
      <c r="K59">
        <v>1.9</v>
      </c>
      <c r="L59">
        <f t="shared" si="34"/>
        <v>2.9</v>
      </c>
      <c r="M59">
        <v>0.5</v>
      </c>
      <c r="N59">
        <v>1.5</v>
      </c>
      <c r="O59">
        <f t="shared" si="35"/>
        <v>1.75</v>
      </c>
      <c r="P59">
        <v>1.1499999999999999</v>
      </c>
      <c r="Q59">
        <v>1</v>
      </c>
      <c r="R59">
        <v>0.05</v>
      </c>
      <c r="S59">
        <f t="shared" si="33"/>
        <v>405.32055899999995</v>
      </c>
      <c r="U59" s="7"/>
    </row>
    <row r="60" spans="6:21" x14ac:dyDescent="0.3">
      <c r="F60" s="6"/>
      <c r="U60" s="7"/>
    </row>
    <row r="61" spans="6:21" x14ac:dyDescent="0.3">
      <c r="F61" s="6"/>
      <c r="G61" t="s">
        <v>42</v>
      </c>
      <c r="H61" t="s">
        <v>52</v>
      </c>
      <c r="I61" t="s">
        <v>6</v>
      </c>
      <c r="J61" t="s">
        <v>2</v>
      </c>
      <c r="K61" t="s">
        <v>18</v>
      </c>
      <c r="L61" t="s">
        <v>9</v>
      </c>
      <c r="M61" t="s">
        <v>0</v>
      </c>
      <c r="N61" t="s">
        <v>11</v>
      </c>
      <c r="O61" t="s">
        <v>12</v>
      </c>
      <c r="P61" t="s">
        <v>13</v>
      </c>
      <c r="Q61" t="s">
        <v>14</v>
      </c>
      <c r="R61" t="s">
        <v>48</v>
      </c>
      <c r="S61" t="s">
        <v>49</v>
      </c>
      <c r="T61" t="s">
        <v>51</v>
      </c>
      <c r="U61" s="7" t="s">
        <v>16</v>
      </c>
    </row>
    <row r="62" spans="6:21" x14ac:dyDescent="0.3">
      <c r="F62" s="6" t="s">
        <v>44</v>
      </c>
      <c r="G62">
        <v>1446.85</v>
      </c>
      <c r="H62">
        <v>0.75</v>
      </c>
      <c r="I62">
        <v>1.28</v>
      </c>
      <c r="J62">
        <v>0</v>
      </c>
      <c r="K62">
        <v>1.9</v>
      </c>
      <c r="L62">
        <f t="shared" ref="L62" si="36">1+6*J62/(J62+2000)+K62</f>
        <v>2.9</v>
      </c>
      <c r="M62">
        <v>0.5</v>
      </c>
      <c r="N62">
        <v>1.5</v>
      </c>
      <c r="O62">
        <f t="shared" ref="O62" si="37">1+M62*N62</f>
        <v>1.75</v>
      </c>
      <c r="P62">
        <v>0.9</v>
      </c>
      <c r="Q62">
        <v>1</v>
      </c>
      <c r="R62">
        <v>0.6</v>
      </c>
      <c r="S62">
        <f>G62*H62*I62*L62*O62*P62*Q62*R62</f>
        <v>3806.4887279999994</v>
      </c>
      <c r="T62">
        <v>2</v>
      </c>
      <c r="U62" s="7">
        <f>T64*T62</f>
        <v>18106.747084978444</v>
      </c>
    </row>
    <row r="63" spans="6:21" x14ac:dyDescent="0.3">
      <c r="F63" s="6" t="s">
        <v>45</v>
      </c>
      <c r="G63">
        <v>1446.85</v>
      </c>
      <c r="H63">
        <v>0.75</v>
      </c>
      <c r="I63">
        <v>1.28</v>
      </c>
      <c r="J63">
        <v>200</v>
      </c>
      <c r="K63">
        <v>2.38</v>
      </c>
      <c r="L63">
        <f>1+6*J63/(J63+2000)+K63</f>
        <v>3.9254545454545453</v>
      </c>
      <c r="M63">
        <v>0.85</v>
      </c>
      <c r="N63">
        <v>2.2200000000000002</v>
      </c>
      <c r="O63">
        <f>1+M63*N63</f>
        <v>2.887</v>
      </c>
      <c r="P63">
        <v>0.9</v>
      </c>
      <c r="Q63">
        <v>1</v>
      </c>
      <c r="R63">
        <v>0.3</v>
      </c>
      <c r="S63">
        <f t="shared" ref="S63:S65" si="38">G63*H63*I63*L63*O63*P63*Q63*R63</f>
        <v>4250.0617744293813</v>
      </c>
      <c r="T63" t="s">
        <v>15</v>
      </c>
      <c r="U63" s="7"/>
    </row>
    <row r="64" spans="6:21" x14ac:dyDescent="0.3">
      <c r="F64" s="6" t="s">
        <v>46</v>
      </c>
      <c r="G64">
        <v>1446.85</v>
      </c>
      <c r="H64">
        <v>0.75</v>
      </c>
      <c r="I64">
        <v>1.28</v>
      </c>
      <c r="J64">
        <v>20</v>
      </c>
      <c r="K64">
        <v>1.3</v>
      </c>
      <c r="L64">
        <f t="shared" ref="L64:L65" si="39">1+6*J64/(J64+2000)+K64</f>
        <v>2.3594059405940593</v>
      </c>
      <c r="M64">
        <v>0.93</v>
      </c>
      <c r="N64">
        <v>2.2999999999999998</v>
      </c>
      <c r="O64">
        <f t="shared" ref="O64:O65" si="40">1+M64*N64</f>
        <v>3.1389999999999998</v>
      </c>
      <c r="P64">
        <v>1.1499999999999999</v>
      </c>
      <c r="Q64">
        <v>1</v>
      </c>
      <c r="R64">
        <v>0.05</v>
      </c>
      <c r="S64">
        <f t="shared" si="38"/>
        <v>591.50248105984144</v>
      </c>
      <c r="T64">
        <f>SUM(S62:S65)</f>
        <v>9053.373542489222</v>
      </c>
      <c r="U64" s="7"/>
    </row>
    <row r="65" spans="6:21" ht="14.5" thickBot="1" x14ac:dyDescent="0.35">
      <c r="F65" s="8" t="s">
        <v>47</v>
      </c>
      <c r="G65" s="9">
        <v>1446.85</v>
      </c>
      <c r="H65" s="9">
        <v>0.75</v>
      </c>
      <c r="I65" s="9">
        <v>1.28</v>
      </c>
      <c r="J65" s="9">
        <v>0</v>
      </c>
      <c r="K65">
        <v>1.9</v>
      </c>
      <c r="L65" s="9">
        <f t="shared" si="39"/>
        <v>2.9</v>
      </c>
      <c r="M65" s="9">
        <v>0.5</v>
      </c>
      <c r="N65" s="9">
        <v>1.5</v>
      </c>
      <c r="O65" s="9">
        <f t="shared" si="40"/>
        <v>1.75</v>
      </c>
      <c r="P65" s="9">
        <v>1.1499999999999999</v>
      </c>
      <c r="Q65" s="9">
        <v>1</v>
      </c>
      <c r="R65" s="9">
        <v>0.05</v>
      </c>
      <c r="S65" s="9">
        <f t="shared" si="38"/>
        <v>405.32055899999995</v>
      </c>
      <c r="T65" s="9"/>
      <c r="U65" s="10"/>
    </row>
  </sheetData>
  <mergeCells count="5">
    <mergeCell ref="A1:D1"/>
    <mergeCell ref="A2:A9"/>
    <mergeCell ref="F25:V25"/>
    <mergeCell ref="F42:U42"/>
    <mergeCell ref="F54:U5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C226-BEF6-4A22-8CBD-FD274D83EDBA}">
  <dimension ref="A1:V69"/>
  <sheetViews>
    <sheetView workbookViewId="0">
      <selection activeCell="M23" sqref="M23"/>
    </sheetView>
  </sheetViews>
  <sheetFormatPr defaultRowHeight="14" x14ac:dyDescent="0.3"/>
  <cols>
    <col min="2" max="2" width="10.1640625" customWidth="1"/>
    <col min="6" max="6" width="3.75" customWidth="1"/>
  </cols>
  <sheetData>
    <row r="1" spans="1:22" x14ac:dyDescent="0.3">
      <c r="A1" s="24" t="s">
        <v>59</v>
      </c>
      <c r="B1" s="25"/>
      <c r="C1" s="25"/>
      <c r="D1" s="26"/>
      <c r="F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  <c r="L1" t="s">
        <v>2</v>
      </c>
      <c r="M1" t="s">
        <v>18</v>
      </c>
      <c r="N1" t="s">
        <v>9</v>
      </c>
      <c r="O1" t="s">
        <v>10</v>
      </c>
      <c r="P1" t="s">
        <v>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3">
      <c r="A2" s="28" t="s">
        <v>27</v>
      </c>
      <c r="B2" s="1" t="s">
        <v>25</v>
      </c>
      <c r="C2" s="1" t="s">
        <v>26</v>
      </c>
      <c r="D2" s="1" t="s">
        <v>28</v>
      </c>
      <c r="F2" t="s">
        <v>17</v>
      </c>
      <c r="G2">
        <f>3199+488+203</f>
        <v>3890</v>
      </c>
      <c r="H2">
        <v>2.9355000000000002</v>
      </c>
      <c r="I2">
        <v>1.28</v>
      </c>
      <c r="J2">
        <v>1</v>
      </c>
      <c r="K2">
        <f>G2*H2*I2*J2</f>
        <v>14616.441600000002</v>
      </c>
      <c r="L2">
        <v>200</v>
      </c>
      <c r="M2">
        <v>2.23</v>
      </c>
      <c r="N2">
        <f>1+6*L2/(L2+2000)+M2</f>
        <v>3.7754545454545454</v>
      </c>
      <c r="O2">
        <v>0</v>
      </c>
      <c r="P2">
        <v>0.85</v>
      </c>
      <c r="Q2">
        <v>2.62</v>
      </c>
      <c r="R2">
        <f>1+P2*Q2</f>
        <v>3.2269999999999999</v>
      </c>
      <c r="S2">
        <v>1.1499999999999999</v>
      </c>
      <c r="T2">
        <v>1</v>
      </c>
      <c r="U2">
        <f>(K2*N2+O2)*R2*S2*T2</f>
        <v>204789.51025042823</v>
      </c>
      <c r="V2">
        <f>SUM(U2:U20)</f>
        <v>3783723.018362673</v>
      </c>
    </row>
    <row r="3" spans="1:22" x14ac:dyDescent="0.3">
      <c r="A3" s="28"/>
      <c r="B3" s="1">
        <f>B5+B7+B9</f>
        <v>5039333.7023998592</v>
      </c>
      <c r="C3" s="1">
        <f>B3/D3</f>
        <v>234387.61406510972</v>
      </c>
      <c r="D3" s="1">
        <v>21.5</v>
      </c>
      <c r="F3" t="s">
        <v>58</v>
      </c>
      <c r="G3">
        <f>3199+488+203</f>
        <v>3890</v>
      </c>
      <c r="H3">
        <v>1.875</v>
      </c>
      <c r="I3">
        <v>1.28</v>
      </c>
      <c r="J3">
        <v>1</v>
      </c>
      <c r="K3">
        <f t="shared" ref="K3:K19" si="0">G3*H3*I3*J3</f>
        <v>9336</v>
      </c>
      <c r="L3">
        <v>200</v>
      </c>
      <c r="M3">
        <v>2.23</v>
      </c>
      <c r="N3">
        <f t="shared" ref="N3:N18" si="1">1+6*L3/(L3+2000)+M3</f>
        <v>3.7754545454545454</v>
      </c>
      <c r="O3">
        <v>0</v>
      </c>
      <c r="P3">
        <v>0.85</v>
      </c>
      <c r="Q3">
        <v>2.2200000000000002</v>
      </c>
      <c r="R3">
        <f t="shared" ref="R3:R18" si="2">1+P3*Q3</f>
        <v>2.887</v>
      </c>
      <c r="S3">
        <v>1.1499999999999999</v>
      </c>
      <c r="T3">
        <v>1</v>
      </c>
      <c r="U3">
        <f t="shared" ref="U3:U19" si="3">(K3*N3+O3)*R3*S3*T3</f>
        <v>117023.9392549091</v>
      </c>
    </row>
    <row r="4" spans="1:22" x14ac:dyDescent="0.3">
      <c r="A4" s="28"/>
      <c r="B4" s="1" t="s">
        <v>29</v>
      </c>
      <c r="C4" s="1" t="s">
        <v>30</v>
      </c>
      <c r="D4" s="1"/>
      <c r="F4" t="s">
        <v>17</v>
      </c>
      <c r="G4">
        <f t="shared" ref="G4:G12" si="4">3199+488+203</f>
        <v>3890</v>
      </c>
      <c r="H4">
        <v>2.9355000000000002</v>
      </c>
      <c r="I4">
        <v>1.28</v>
      </c>
      <c r="J4">
        <v>1</v>
      </c>
      <c r="K4">
        <f t="shared" si="0"/>
        <v>14616.441600000002</v>
      </c>
      <c r="L4">
        <v>200</v>
      </c>
      <c r="M4">
        <v>2.38</v>
      </c>
      <c r="N4">
        <f t="shared" si="1"/>
        <v>3.9254545454545453</v>
      </c>
      <c r="O4">
        <v>0</v>
      </c>
      <c r="P4">
        <v>0.85</v>
      </c>
      <c r="Q4">
        <v>2.82</v>
      </c>
      <c r="R4">
        <f t="shared" si="2"/>
        <v>3.3969999999999998</v>
      </c>
      <c r="S4">
        <v>1.1499999999999999</v>
      </c>
      <c r="T4">
        <v>1</v>
      </c>
      <c r="U4">
        <f t="shared" si="3"/>
        <v>224142.90471677145</v>
      </c>
    </row>
    <row r="5" spans="1:22" x14ac:dyDescent="0.3">
      <c r="A5" s="28"/>
      <c r="B5" s="1">
        <f>V2+T23</f>
        <v>4260952.520312163</v>
      </c>
      <c r="C5" s="2">
        <f>B5/B3</f>
        <v>0.84553886921260812</v>
      </c>
      <c r="D5" s="1"/>
      <c r="F5" t="s">
        <v>17</v>
      </c>
      <c r="G5">
        <f t="shared" si="4"/>
        <v>3890</v>
      </c>
      <c r="H5">
        <v>2.9355000000000002</v>
      </c>
      <c r="I5">
        <v>1.28</v>
      </c>
      <c r="J5">
        <v>1</v>
      </c>
      <c r="K5">
        <f t="shared" si="0"/>
        <v>14616.441600000002</v>
      </c>
      <c r="L5">
        <v>200</v>
      </c>
      <c r="M5">
        <v>2.38</v>
      </c>
      <c r="N5">
        <f t="shared" si="1"/>
        <v>3.9254545454545453</v>
      </c>
      <c r="O5">
        <v>0</v>
      </c>
      <c r="P5">
        <v>0.85</v>
      </c>
      <c r="Q5">
        <v>3.02</v>
      </c>
      <c r="R5">
        <f t="shared" si="2"/>
        <v>3.5669999999999997</v>
      </c>
      <c r="S5">
        <v>1.1499999999999999</v>
      </c>
      <c r="T5">
        <v>1</v>
      </c>
      <c r="U5">
        <f t="shared" si="3"/>
        <v>235359.94734316276</v>
      </c>
    </row>
    <row r="6" spans="1:22" x14ac:dyDescent="0.3">
      <c r="A6" s="28"/>
      <c r="B6" s="1" t="s">
        <v>31</v>
      </c>
      <c r="C6" s="2" t="s">
        <v>30</v>
      </c>
      <c r="D6" s="1"/>
      <c r="F6" t="s">
        <v>17</v>
      </c>
      <c r="G6">
        <f t="shared" si="4"/>
        <v>3890</v>
      </c>
      <c r="H6">
        <v>2.9355000000000002</v>
      </c>
      <c r="I6">
        <v>1.28</v>
      </c>
      <c r="J6">
        <v>1</v>
      </c>
      <c r="K6">
        <f t="shared" si="0"/>
        <v>14616.441600000002</v>
      </c>
      <c r="L6">
        <v>200</v>
      </c>
      <c r="M6">
        <v>2.38</v>
      </c>
      <c r="N6">
        <f t="shared" si="1"/>
        <v>3.9254545454545453</v>
      </c>
      <c r="O6">
        <v>0</v>
      </c>
      <c r="P6">
        <v>0.85</v>
      </c>
      <c r="Q6">
        <v>3.22</v>
      </c>
      <c r="R6">
        <f t="shared" si="2"/>
        <v>3.7370000000000001</v>
      </c>
      <c r="S6">
        <v>1.1499999999999999</v>
      </c>
      <c r="T6">
        <v>1</v>
      </c>
      <c r="U6">
        <f t="shared" si="3"/>
        <v>246576.98996955404</v>
      </c>
    </row>
    <row r="7" spans="1:22" x14ac:dyDescent="0.3">
      <c r="A7" s="28"/>
      <c r="B7" s="1">
        <f>V31+T43</f>
        <v>586299.57437125291</v>
      </c>
      <c r="C7" s="2">
        <f>B7/B3</f>
        <v>0.11634466161509449</v>
      </c>
      <c r="D7" s="1"/>
      <c r="F7" t="s">
        <v>58</v>
      </c>
      <c r="G7">
        <f t="shared" si="4"/>
        <v>3890</v>
      </c>
      <c r="H7">
        <v>1.875</v>
      </c>
      <c r="I7">
        <v>1.28</v>
      </c>
      <c r="J7">
        <v>1</v>
      </c>
      <c r="K7">
        <f t="shared" si="0"/>
        <v>9336</v>
      </c>
      <c r="L7">
        <v>200</v>
      </c>
      <c r="M7">
        <v>2.38</v>
      </c>
      <c r="N7">
        <f t="shared" si="1"/>
        <v>3.9254545454545453</v>
      </c>
      <c r="O7">
        <v>0</v>
      </c>
      <c r="P7">
        <v>0.85</v>
      </c>
      <c r="Q7">
        <v>2.2200000000000002</v>
      </c>
      <c r="R7">
        <f t="shared" si="2"/>
        <v>2.887</v>
      </c>
      <c r="S7">
        <v>1.1499999999999999</v>
      </c>
      <c r="T7">
        <v>1</v>
      </c>
      <c r="U7">
        <f t="shared" si="3"/>
        <v>121673.33727490906</v>
      </c>
    </row>
    <row r="8" spans="1:22" x14ac:dyDescent="0.3">
      <c r="A8" s="28"/>
      <c r="B8" s="1" t="s">
        <v>50</v>
      </c>
      <c r="C8" s="2" t="s">
        <v>30</v>
      </c>
      <c r="D8" s="1"/>
      <c r="F8" t="s">
        <v>17</v>
      </c>
      <c r="G8">
        <f t="shared" si="4"/>
        <v>3890</v>
      </c>
      <c r="H8">
        <v>2.9355000000000002</v>
      </c>
      <c r="I8">
        <v>1.28</v>
      </c>
      <c r="J8">
        <v>1</v>
      </c>
      <c r="K8">
        <f t="shared" si="0"/>
        <v>14616.441600000002</v>
      </c>
      <c r="L8">
        <v>200</v>
      </c>
      <c r="M8">
        <v>2.38</v>
      </c>
      <c r="N8">
        <f t="shared" si="1"/>
        <v>3.9254545454545453</v>
      </c>
      <c r="O8">
        <v>0</v>
      </c>
      <c r="P8">
        <v>0.85</v>
      </c>
      <c r="Q8">
        <v>3.22</v>
      </c>
      <c r="R8">
        <f t="shared" si="2"/>
        <v>3.7370000000000001</v>
      </c>
      <c r="S8">
        <v>1.1499999999999999</v>
      </c>
      <c r="T8">
        <v>1</v>
      </c>
      <c r="U8">
        <f t="shared" si="3"/>
        <v>246576.98996955404</v>
      </c>
    </row>
    <row r="9" spans="1:22" x14ac:dyDescent="0.3">
      <c r="A9" s="28"/>
      <c r="B9" s="1">
        <f>U48+U54+U60+U66</f>
        <v>192081.6077164427</v>
      </c>
      <c r="C9" s="2">
        <f>B9/B3</f>
        <v>3.8116469172297232E-2</v>
      </c>
      <c r="D9" s="1"/>
      <c r="F9" t="s">
        <v>17</v>
      </c>
      <c r="G9">
        <f t="shared" si="4"/>
        <v>3890</v>
      </c>
      <c r="H9">
        <v>2.9355000000000002</v>
      </c>
      <c r="I9">
        <v>1.28</v>
      </c>
      <c r="J9">
        <v>1</v>
      </c>
      <c r="K9">
        <f t="shared" si="0"/>
        <v>14616.441600000002</v>
      </c>
      <c r="L9">
        <v>200</v>
      </c>
      <c r="M9">
        <v>2.38</v>
      </c>
      <c r="N9">
        <f t="shared" si="1"/>
        <v>3.9254545454545453</v>
      </c>
      <c r="O9">
        <v>0</v>
      </c>
      <c r="P9">
        <v>0.85</v>
      </c>
      <c r="Q9">
        <v>3.22</v>
      </c>
      <c r="R9">
        <f t="shared" si="2"/>
        <v>3.7370000000000001</v>
      </c>
      <c r="S9">
        <v>1.1499999999999999</v>
      </c>
      <c r="T9">
        <v>1</v>
      </c>
      <c r="U9">
        <f t="shared" si="3"/>
        <v>246576.98996955404</v>
      </c>
    </row>
    <row r="10" spans="1:22" x14ac:dyDescent="0.3">
      <c r="F10" s="6" t="s">
        <v>20</v>
      </c>
      <c r="G10">
        <f t="shared" si="4"/>
        <v>3890</v>
      </c>
      <c r="H10">
        <v>5.9543999999999997</v>
      </c>
      <c r="I10">
        <v>1.28</v>
      </c>
      <c r="J10">
        <v>2</v>
      </c>
      <c r="K10">
        <f t="shared" si="0"/>
        <v>59296.29696</v>
      </c>
      <c r="L10">
        <v>200</v>
      </c>
      <c r="M10">
        <v>2.38</v>
      </c>
      <c r="N10">
        <f t="shared" si="1"/>
        <v>3.9254545454545453</v>
      </c>
      <c r="O10">
        <v>0</v>
      </c>
      <c r="P10">
        <v>0.85</v>
      </c>
      <c r="Q10">
        <v>2.2200000000000002</v>
      </c>
      <c r="R10">
        <f t="shared" si="2"/>
        <v>2.887</v>
      </c>
      <c r="S10">
        <v>1.1499999999999999</v>
      </c>
      <c r="T10">
        <v>1</v>
      </c>
      <c r="U10">
        <f t="shared" si="3"/>
        <v>772791.16743436654</v>
      </c>
    </row>
    <row r="11" spans="1:22" x14ac:dyDescent="0.3">
      <c r="F11" s="6" t="s">
        <v>19</v>
      </c>
      <c r="G11">
        <f t="shared" si="4"/>
        <v>3890</v>
      </c>
      <c r="H11">
        <v>0.58320000000000005</v>
      </c>
      <c r="I11">
        <v>1.28</v>
      </c>
      <c r="J11">
        <v>4</v>
      </c>
      <c r="K11">
        <f t="shared" si="0"/>
        <v>11615.477760000002</v>
      </c>
      <c r="L11">
        <v>200</v>
      </c>
      <c r="M11">
        <v>2.38</v>
      </c>
      <c r="N11">
        <f t="shared" si="1"/>
        <v>3.9254545454545453</v>
      </c>
      <c r="O11">
        <v>0</v>
      </c>
      <c r="P11">
        <v>0.85</v>
      </c>
      <c r="Q11">
        <v>2.2200000000000002</v>
      </c>
      <c r="R11">
        <f t="shared" si="2"/>
        <v>2.887</v>
      </c>
      <c r="S11">
        <v>1.1499999999999999</v>
      </c>
      <c r="T11">
        <v>1</v>
      </c>
      <c r="U11">
        <f t="shared" si="3"/>
        <v>151381.0993039509</v>
      </c>
    </row>
    <row r="12" spans="1:22" x14ac:dyDescent="0.3">
      <c r="F12" t="s">
        <v>58</v>
      </c>
      <c r="G12">
        <f t="shared" si="4"/>
        <v>3890</v>
      </c>
      <c r="H12">
        <v>1.875</v>
      </c>
      <c r="I12">
        <v>1.28</v>
      </c>
      <c r="J12">
        <v>1</v>
      </c>
      <c r="K12">
        <f t="shared" si="0"/>
        <v>9336</v>
      </c>
      <c r="L12">
        <v>200</v>
      </c>
      <c r="M12">
        <v>2.38</v>
      </c>
      <c r="N12">
        <f t="shared" si="1"/>
        <v>3.9254545454545453</v>
      </c>
      <c r="O12">
        <v>0</v>
      </c>
      <c r="P12">
        <v>0.85</v>
      </c>
      <c r="Q12">
        <v>2.2200000000000002</v>
      </c>
      <c r="R12">
        <f t="shared" si="2"/>
        <v>2.887</v>
      </c>
      <c r="S12">
        <v>1.1499999999999999</v>
      </c>
      <c r="T12">
        <v>1</v>
      </c>
      <c r="U12">
        <f t="shared" si="3"/>
        <v>121673.33727490906</v>
      </c>
    </row>
    <row r="13" spans="1:22" x14ac:dyDescent="0.3">
      <c r="F13" t="s">
        <v>17</v>
      </c>
      <c r="G13">
        <f>3199+488+203</f>
        <v>3890</v>
      </c>
      <c r="H13">
        <v>2.9355000000000002</v>
      </c>
      <c r="I13">
        <v>1.28</v>
      </c>
      <c r="J13">
        <v>1</v>
      </c>
      <c r="K13">
        <f t="shared" si="0"/>
        <v>14616.441600000002</v>
      </c>
      <c r="L13">
        <v>200</v>
      </c>
      <c r="M13">
        <v>2.38</v>
      </c>
      <c r="N13">
        <f t="shared" si="1"/>
        <v>3.9254545454545453</v>
      </c>
      <c r="O13">
        <v>0</v>
      </c>
      <c r="P13">
        <v>0.85</v>
      </c>
      <c r="Q13">
        <v>2.62</v>
      </c>
      <c r="R13">
        <f t="shared" si="2"/>
        <v>3.2269999999999999</v>
      </c>
      <c r="S13">
        <v>0.9</v>
      </c>
      <c r="T13">
        <v>1</v>
      </c>
      <c r="U13">
        <f t="shared" si="3"/>
        <v>166637.63120116713</v>
      </c>
    </row>
    <row r="14" spans="1:22" x14ac:dyDescent="0.3">
      <c r="F14" t="s">
        <v>17</v>
      </c>
      <c r="G14">
        <f>3199+203</f>
        <v>3402</v>
      </c>
      <c r="H14">
        <v>2.9355000000000002</v>
      </c>
      <c r="I14">
        <v>1.28</v>
      </c>
      <c r="J14">
        <v>1</v>
      </c>
      <c r="K14">
        <f t="shared" si="0"/>
        <v>12782.810880000001</v>
      </c>
      <c r="L14">
        <v>200</v>
      </c>
      <c r="M14">
        <v>2.38</v>
      </c>
      <c r="N14">
        <f t="shared" si="1"/>
        <v>3.9254545454545453</v>
      </c>
      <c r="O14">
        <v>0</v>
      </c>
      <c r="P14">
        <v>0.85</v>
      </c>
      <c r="Q14">
        <v>2.82</v>
      </c>
      <c r="R14">
        <f t="shared" si="2"/>
        <v>3.3969999999999998</v>
      </c>
      <c r="S14">
        <v>0.9</v>
      </c>
      <c r="T14">
        <v>1</v>
      </c>
      <c r="U14">
        <f t="shared" si="3"/>
        <v>153410.24827580439</v>
      </c>
    </row>
    <row r="15" spans="1:22" x14ac:dyDescent="0.3">
      <c r="F15" t="s">
        <v>17</v>
      </c>
      <c r="G15">
        <f t="shared" ref="G15:G17" si="5">3199+203</f>
        <v>3402</v>
      </c>
      <c r="H15">
        <v>2.9355000000000002</v>
      </c>
      <c r="I15">
        <v>1.28</v>
      </c>
      <c r="J15">
        <v>1</v>
      </c>
      <c r="K15">
        <f t="shared" si="0"/>
        <v>12782.810880000001</v>
      </c>
      <c r="L15">
        <v>200</v>
      </c>
      <c r="M15">
        <v>2.38</v>
      </c>
      <c r="N15">
        <f t="shared" si="1"/>
        <v>3.9254545454545453</v>
      </c>
      <c r="O15">
        <v>0</v>
      </c>
      <c r="P15">
        <v>0.85</v>
      </c>
      <c r="Q15">
        <v>3.02</v>
      </c>
      <c r="R15">
        <f t="shared" si="2"/>
        <v>3.5669999999999997</v>
      </c>
      <c r="S15">
        <v>0.9</v>
      </c>
      <c r="T15">
        <v>1</v>
      </c>
      <c r="U15">
        <f t="shared" si="3"/>
        <v>161087.5347659094</v>
      </c>
    </row>
    <row r="16" spans="1:22" x14ac:dyDescent="0.3">
      <c r="F16" t="s">
        <v>58</v>
      </c>
      <c r="G16">
        <f t="shared" si="5"/>
        <v>3402</v>
      </c>
      <c r="H16">
        <v>1.875</v>
      </c>
      <c r="I16">
        <v>1.28</v>
      </c>
      <c r="J16">
        <v>1</v>
      </c>
      <c r="K16">
        <f t="shared" si="0"/>
        <v>8164.8</v>
      </c>
      <c r="L16">
        <v>200</v>
      </c>
      <c r="M16">
        <v>2.38</v>
      </c>
      <c r="N16">
        <f t="shared" si="1"/>
        <v>3.9254545454545453</v>
      </c>
      <c r="O16">
        <v>0</v>
      </c>
      <c r="P16">
        <v>0.85</v>
      </c>
      <c r="Q16">
        <v>2.2200000000000002</v>
      </c>
      <c r="R16">
        <f t="shared" si="2"/>
        <v>2.887</v>
      </c>
      <c r="S16">
        <v>0.9</v>
      </c>
      <c r="T16">
        <v>1</v>
      </c>
      <c r="U16">
        <f t="shared" si="3"/>
        <v>83276.947371927265</v>
      </c>
    </row>
    <row r="17" spans="6:22" x14ac:dyDescent="0.3">
      <c r="F17" t="s">
        <v>17</v>
      </c>
      <c r="G17">
        <f t="shared" si="5"/>
        <v>3402</v>
      </c>
      <c r="H17">
        <v>2.9355000000000002</v>
      </c>
      <c r="I17">
        <v>1.28</v>
      </c>
      <c r="J17">
        <v>1</v>
      </c>
      <c r="K17">
        <f t="shared" si="0"/>
        <v>12782.810880000001</v>
      </c>
      <c r="L17">
        <v>200</v>
      </c>
      <c r="M17">
        <v>2.38</v>
      </c>
      <c r="N17">
        <f t="shared" si="1"/>
        <v>3.9254545454545453</v>
      </c>
      <c r="O17">
        <v>0</v>
      </c>
      <c r="P17">
        <v>0.85</v>
      </c>
      <c r="Q17">
        <v>3.22</v>
      </c>
      <c r="R17">
        <f t="shared" si="2"/>
        <v>3.7370000000000001</v>
      </c>
      <c r="S17">
        <v>0.9</v>
      </c>
      <c r="T17">
        <v>1</v>
      </c>
      <c r="U17">
        <f t="shared" si="3"/>
        <v>168764.82125601446</v>
      </c>
    </row>
    <row r="18" spans="6:22" x14ac:dyDescent="0.3">
      <c r="F18" t="s">
        <v>17</v>
      </c>
      <c r="G18">
        <f>3199</f>
        <v>3199</v>
      </c>
      <c r="H18">
        <v>2.9355000000000002</v>
      </c>
      <c r="I18">
        <v>1.28</v>
      </c>
      <c r="J18">
        <v>1</v>
      </c>
      <c r="K18">
        <f t="shared" si="0"/>
        <v>12020.050560000001</v>
      </c>
      <c r="L18">
        <v>200</v>
      </c>
      <c r="M18">
        <v>1.88</v>
      </c>
      <c r="N18">
        <f t="shared" si="1"/>
        <v>3.4254545454545453</v>
      </c>
      <c r="O18">
        <v>0</v>
      </c>
      <c r="P18">
        <v>0.85</v>
      </c>
      <c r="Q18">
        <v>3.22</v>
      </c>
      <c r="R18">
        <f t="shared" si="2"/>
        <v>3.7370000000000001</v>
      </c>
      <c r="S18">
        <v>0.9</v>
      </c>
      <c r="T18">
        <v>1</v>
      </c>
      <c r="U18">
        <f t="shared" si="3"/>
        <v>138480.974391411</v>
      </c>
    </row>
    <row r="19" spans="6:22" x14ac:dyDescent="0.3">
      <c r="F19" t="s">
        <v>17</v>
      </c>
      <c r="G19">
        <f>3199</f>
        <v>3199</v>
      </c>
      <c r="H19">
        <v>2.9355000000000002</v>
      </c>
      <c r="I19">
        <v>1.28</v>
      </c>
      <c r="J19">
        <v>1</v>
      </c>
      <c r="K19">
        <f t="shared" si="0"/>
        <v>12020.050560000001</v>
      </c>
      <c r="L19">
        <v>200</v>
      </c>
      <c r="M19">
        <v>1.88</v>
      </c>
      <c r="N19">
        <f t="shared" ref="N19:N20" si="6">1+6*L19/(L19+2000)+M19</f>
        <v>3.4254545454545453</v>
      </c>
      <c r="O19">
        <v>0</v>
      </c>
      <c r="P19">
        <v>0.85</v>
      </c>
      <c r="Q19">
        <v>3.22</v>
      </c>
      <c r="R19">
        <f t="shared" ref="R19:R20" si="7">1+P19*Q19</f>
        <v>3.7370000000000001</v>
      </c>
      <c r="S19">
        <v>0.9</v>
      </c>
      <c r="T19">
        <v>1</v>
      </c>
      <c r="U19">
        <f t="shared" si="3"/>
        <v>138480.974391411</v>
      </c>
    </row>
    <row r="20" spans="6:22" x14ac:dyDescent="0.3">
      <c r="F20" s="6" t="s">
        <v>19</v>
      </c>
      <c r="G20">
        <f>3199</f>
        <v>3199</v>
      </c>
      <c r="H20">
        <v>0.58320000000000005</v>
      </c>
      <c r="I20">
        <v>1.28</v>
      </c>
      <c r="J20">
        <v>4</v>
      </c>
      <c r="K20">
        <f t="shared" ref="K20" si="8">G20*H20*I20*J20</f>
        <v>9552.1628160000018</v>
      </c>
      <c r="L20">
        <v>200</v>
      </c>
      <c r="M20">
        <v>1.88</v>
      </c>
      <c r="N20">
        <f t="shared" si="6"/>
        <v>3.4254545454545453</v>
      </c>
      <c r="O20">
        <v>0</v>
      </c>
      <c r="P20">
        <v>0.85</v>
      </c>
      <c r="Q20">
        <v>2.2200000000000002</v>
      </c>
      <c r="R20">
        <f t="shared" si="7"/>
        <v>2.887</v>
      </c>
      <c r="S20">
        <v>0.9</v>
      </c>
      <c r="T20">
        <v>1</v>
      </c>
      <c r="U20">
        <f t="shared" ref="U20" si="9">(K20*N20+O20)*R20*S20*T20</f>
        <v>85017.673946958763</v>
      </c>
    </row>
    <row r="22" spans="6:22" x14ac:dyDescent="0.3">
      <c r="G22" t="s">
        <v>1</v>
      </c>
      <c r="H22" t="s">
        <v>5</v>
      </c>
      <c r="I22" t="s">
        <v>7</v>
      </c>
      <c r="J22" t="s">
        <v>7</v>
      </c>
      <c r="K22" t="s">
        <v>8</v>
      </c>
      <c r="L22" t="s">
        <v>22</v>
      </c>
      <c r="M22" t="s">
        <v>0</v>
      </c>
      <c r="N22" t="s">
        <v>11</v>
      </c>
      <c r="O22" t="s">
        <v>12</v>
      </c>
      <c r="P22" t="s">
        <v>13</v>
      </c>
      <c r="Q22" t="s">
        <v>15</v>
      </c>
      <c r="R22" t="s">
        <v>23</v>
      </c>
      <c r="S22" t="s">
        <v>24</v>
      </c>
      <c r="T22" t="s">
        <v>16</v>
      </c>
    </row>
    <row r="23" spans="6:22" x14ac:dyDescent="0.3">
      <c r="G23">
        <f>3199+488+203</f>
        <v>3890</v>
      </c>
      <c r="H23">
        <v>1.03</v>
      </c>
      <c r="I23">
        <v>1</v>
      </c>
      <c r="J23">
        <v>1</v>
      </c>
      <c r="K23">
        <f>G23*H23*I23*J23</f>
        <v>4006.7000000000003</v>
      </c>
      <c r="L23">
        <v>1</v>
      </c>
      <c r="M23">
        <v>0.85</v>
      </c>
      <c r="N23">
        <v>2.2200000000000002</v>
      </c>
      <c r="O23">
        <f>1+M23*N23</f>
        <v>2.887</v>
      </c>
      <c r="P23">
        <v>1.1499999999999999</v>
      </c>
      <c r="Q23">
        <f>K23*L23*O23*P23</f>
        <v>13302.444335</v>
      </c>
      <c r="R23">
        <v>18</v>
      </c>
      <c r="S23">
        <f>Q23*R23</f>
        <v>239443.99803000002</v>
      </c>
      <c r="T23">
        <f>SUM(S23:S29)</f>
        <v>477229.50194949005</v>
      </c>
    </row>
    <row r="24" spans="6:22" x14ac:dyDescent="0.3">
      <c r="G24">
        <f t="shared" ref="G24:G25" si="10">3199+488+203</f>
        <v>3890</v>
      </c>
      <c r="H24">
        <v>1.5879000000000001</v>
      </c>
      <c r="I24">
        <v>3</v>
      </c>
      <c r="J24">
        <v>1</v>
      </c>
      <c r="K24">
        <f t="shared" ref="K24:K25" si="11">G24*H24*I24*J24</f>
        <v>18530.793000000001</v>
      </c>
      <c r="L24">
        <v>1</v>
      </c>
      <c r="M24">
        <v>0.85</v>
      </c>
      <c r="N24">
        <v>2.2200000000000002</v>
      </c>
      <c r="O24">
        <f t="shared" ref="O24:O25" si="12">1+M24*N24</f>
        <v>2.887</v>
      </c>
      <c r="P24">
        <v>1.1499999999999999</v>
      </c>
      <c r="Q24">
        <f t="shared" ref="Q24:Q25" si="13">K24*L24*O24*P24</f>
        <v>61523.159299650004</v>
      </c>
      <c r="R24">
        <v>1</v>
      </c>
      <c r="S24">
        <f t="shared" ref="S24:S25" si="14">Q24*R24</f>
        <v>61523.159299650004</v>
      </c>
    </row>
    <row r="25" spans="6:22" x14ac:dyDescent="0.3">
      <c r="G25">
        <f t="shared" si="10"/>
        <v>3890</v>
      </c>
      <c r="H25">
        <v>0.58320000000000005</v>
      </c>
      <c r="I25">
        <v>1</v>
      </c>
      <c r="J25">
        <v>1</v>
      </c>
      <c r="K25">
        <f t="shared" si="11"/>
        <v>2268.6480000000001</v>
      </c>
      <c r="L25">
        <v>1</v>
      </c>
      <c r="M25">
        <v>0.85</v>
      </c>
      <c r="N25">
        <v>2.2200000000000002</v>
      </c>
      <c r="O25">
        <f t="shared" si="12"/>
        <v>2.887</v>
      </c>
      <c r="P25">
        <v>1.1499999999999999</v>
      </c>
      <c r="Q25">
        <f t="shared" si="13"/>
        <v>7532.0247923999996</v>
      </c>
      <c r="R25">
        <v>1</v>
      </c>
      <c r="S25">
        <f t="shared" si="14"/>
        <v>7532.0247923999996</v>
      </c>
    </row>
    <row r="26" spans="6:22" x14ac:dyDescent="0.3">
      <c r="G26">
        <f>G14</f>
        <v>3402</v>
      </c>
      <c r="H26">
        <v>1.03</v>
      </c>
      <c r="I26">
        <v>1</v>
      </c>
      <c r="J26">
        <v>1</v>
      </c>
      <c r="K26">
        <f>G26*H26*I26*J26</f>
        <v>3504.06</v>
      </c>
      <c r="L26">
        <v>1</v>
      </c>
      <c r="M26">
        <v>0.85</v>
      </c>
      <c r="N26">
        <v>2.2200000000000002</v>
      </c>
      <c r="O26">
        <f>1+M26*N26</f>
        <v>2.887</v>
      </c>
      <c r="P26">
        <v>0.9</v>
      </c>
      <c r="Q26">
        <f>K26*L26*O26*P26</f>
        <v>9104.5990980000006</v>
      </c>
      <c r="R26">
        <v>18</v>
      </c>
      <c r="S26">
        <f>Q26*R26</f>
        <v>163882.78376400002</v>
      </c>
    </row>
    <row r="27" spans="6:22" x14ac:dyDescent="0.3">
      <c r="G27">
        <f>G20</f>
        <v>3199</v>
      </c>
      <c r="H27">
        <v>0.58320000000000005</v>
      </c>
      <c r="I27">
        <v>1</v>
      </c>
      <c r="J27">
        <v>1</v>
      </c>
      <c r="K27">
        <f t="shared" ref="K27" si="15">G27*H27*I27*J27</f>
        <v>1865.6568000000002</v>
      </c>
      <c r="L27">
        <v>1</v>
      </c>
      <c r="M27">
        <v>0.85</v>
      </c>
      <c r="N27">
        <v>2.2200000000000002</v>
      </c>
      <c r="O27">
        <f t="shared" ref="O27" si="16">1+M27*N27</f>
        <v>2.887</v>
      </c>
      <c r="P27">
        <v>0.9</v>
      </c>
      <c r="Q27">
        <f t="shared" ref="Q27" si="17">K27*L27*O27*P27</f>
        <v>4847.5360634400004</v>
      </c>
      <c r="R27">
        <v>1</v>
      </c>
      <c r="S27">
        <f t="shared" ref="S27" si="18">Q27*R27</f>
        <v>4847.5360634400004</v>
      </c>
    </row>
    <row r="28" spans="6:22" ht="14.5" thickBot="1" x14ac:dyDescent="0.35"/>
    <row r="29" spans="6:22" x14ac:dyDescent="0.3">
      <c r="F29" s="19" t="s">
        <v>3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1"/>
    </row>
    <row r="30" spans="6:22" x14ac:dyDescent="0.3">
      <c r="F30" s="6" t="s">
        <v>4</v>
      </c>
      <c r="G30" t="s">
        <v>1</v>
      </c>
      <c r="H30" t="s">
        <v>5</v>
      </c>
      <c r="I30" t="s">
        <v>6</v>
      </c>
      <c r="J30" t="s">
        <v>7</v>
      </c>
      <c r="K30" t="s">
        <v>8</v>
      </c>
      <c r="L30" t="s">
        <v>2</v>
      </c>
      <c r="M30" t="s">
        <v>18</v>
      </c>
      <c r="N30" t="s">
        <v>9</v>
      </c>
      <c r="O30" t="s">
        <v>10</v>
      </c>
      <c r="P30" t="s">
        <v>0</v>
      </c>
      <c r="Q30" t="s">
        <v>11</v>
      </c>
      <c r="R30" t="s">
        <v>12</v>
      </c>
      <c r="S30" t="s">
        <v>13</v>
      </c>
      <c r="T30" t="s">
        <v>14</v>
      </c>
      <c r="U30" t="s">
        <v>15</v>
      </c>
      <c r="V30" s="7" t="s">
        <v>16</v>
      </c>
    </row>
    <row r="31" spans="6:22" x14ac:dyDescent="0.3">
      <c r="F31" s="6" t="s">
        <v>32</v>
      </c>
      <c r="G31">
        <v>2604</v>
      </c>
      <c r="H31">
        <v>8.2554999999999996</v>
      </c>
      <c r="I31">
        <v>1.28</v>
      </c>
      <c r="J31">
        <f>16*0.015+1</f>
        <v>1.24</v>
      </c>
      <c r="K31">
        <f>G31*H31*I31*J31</f>
        <v>34120.549478399997</v>
      </c>
      <c r="L31">
        <v>20</v>
      </c>
      <c r="M31">
        <v>1.1000000000000001</v>
      </c>
      <c r="N31">
        <f>1+6*L31/(L31+2000)+M31</f>
        <v>2.1594059405940595</v>
      </c>
      <c r="O31">
        <v>0</v>
      </c>
      <c r="P31">
        <v>0.93</v>
      </c>
      <c r="Q31">
        <v>2.2999999999999998</v>
      </c>
      <c r="R31">
        <f>1+P31*Q31</f>
        <v>3.1389999999999998</v>
      </c>
      <c r="S31">
        <v>0.9</v>
      </c>
      <c r="T31">
        <v>1</v>
      </c>
      <c r="U31">
        <f>(K31*N31+O31)*R31*S31*T31</f>
        <v>208153.69921469712</v>
      </c>
      <c r="V31" s="7">
        <f>SUM(U31:U40)</f>
        <v>449480.94105772296</v>
      </c>
    </row>
    <row r="32" spans="6:22" x14ac:dyDescent="0.3">
      <c r="F32" s="6" t="s">
        <v>33</v>
      </c>
      <c r="G32">
        <f>189+2604</f>
        <v>2793</v>
      </c>
      <c r="H32">
        <v>0.72950000000000004</v>
      </c>
      <c r="I32">
        <v>1.28</v>
      </c>
      <c r="J32">
        <f>17*0.015+1</f>
        <v>1.2549999999999999</v>
      </c>
      <c r="K32">
        <f t="shared" ref="K32:K40" si="19">G32*H32*I32*J32</f>
        <v>3273.0295584</v>
      </c>
      <c r="L32">
        <v>20</v>
      </c>
      <c r="M32">
        <v>1.3</v>
      </c>
      <c r="N32">
        <f t="shared" ref="N32:N40" si="20">1+6*L32/(L32+2000)+M32</f>
        <v>2.3594059405940593</v>
      </c>
      <c r="O32">
        <v>0</v>
      </c>
      <c r="P32">
        <v>0.93</v>
      </c>
      <c r="Q32">
        <v>2.2999999999999998</v>
      </c>
      <c r="R32">
        <f t="shared" ref="R32:R40" si="21">1+P32*Q32</f>
        <v>3.1389999999999998</v>
      </c>
      <c r="S32">
        <v>0.9</v>
      </c>
      <c r="T32">
        <v>1</v>
      </c>
      <c r="U32">
        <f t="shared" ref="U32:U40" si="22">(K32*N32+O32)*R32*S32*T32</f>
        <v>21816.567449855054</v>
      </c>
      <c r="V32" s="7"/>
    </row>
    <row r="33" spans="6:22" x14ac:dyDescent="0.3">
      <c r="F33" s="6" t="s">
        <v>34</v>
      </c>
      <c r="G33">
        <f t="shared" ref="G33:G39" si="23">189+2604</f>
        <v>2793</v>
      </c>
      <c r="H33">
        <v>0.87239999999999995</v>
      </c>
      <c r="I33">
        <v>1.28</v>
      </c>
      <c r="J33">
        <f t="shared" ref="J33:J39" si="24">17*0.015+1</f>
        <v>1.2549999999999999</v>
      </c>
      <c r="K33">
        <f t="shared" si="19"/>
        <v>3914.175444479999</v>
      </c>
      <c r="L33">
        <v>20</v>
      </c>
      <c r="M33">
        <v>1.3</v>
      </c>
      <c r="N33">
        <f t="shared" si="20"/>
        <v>2.3594059405940593</v>
      </c>
      <c r="O33">
        <v>0</v>
      </c>
      <c r="P33">
        <v>0.93</v>
      </c>
      <c r="Q33">
        <v>2.2999999999999998</v>
      </c>
      <c r="R33">
        <f t="shared" si="21"/>
        <v>3.1389999999999998</v>
      </c>
      <c r="S33">
        <v>1.1499999999999999</v>
      </c>
      <c r="T33">
        <v>1</v>
      </c>
      <c r="U33">
        <f t="shared" si="22"/>
        <v>33337.429685083509</v>
      </c>
      <c r="V33" s="7"/>
    </row>
    <row r="34" spans="6:22" x14ac:dyDescent="0.3">
      <c r="F34" s="6" t="s">
        <v>35</v>
      </c>
      <c r="G34">
        <f t="shared" si="23"/>
        <v>2793</v>
      </c>
      <c r="H34">
        <v>0.72950000000000004</v>
      </c>
      <c r="I34">
        <v>1.28</v>
      </c>
      <c r="J34">
        <f t="shared" si="24"/>
        <v>1.2549999999999999</v>
      </c>
      <c r="K34">
        <f t="shared" si="19"/>
        <v>3273.0295584</v>
      </c>
      <c r="L34">
        <v>20</v>
      </c>
      <c r="M34">
        <v>1.3</v>
      </c>
      <c r="N34">
        <f t="shared" si="20"/>
        <v>2.3594059405940593</v>
      </c>
      <c r="O34">
        <v>0</v>
      </c>
      <c r="P34">
        <v>0.93</v>
      </c>
      <c r="Q34">
        <v>2.2999999999999998</v>
      </c>
      <c r="R34">
        <f t="shared" si="21"/>
        <v>3.1389999999999998</v>
      </c>
      <c r="S34">
        <v>1.1499999999999999</v>
      </c>
      <c r="T34">
        <v>1</v>
      </c>
      <c r="U34">
        <f t="shared" si="22"/>
        <v>27876.725074814789</v>
      </c>
      <c r="V34" s="7"/>
    </row>
    <row r="35" spans="6:22" x14ac:dyDescent="0.3">
      <c r="F35" s="6" t="s">
        <v>36</v>
      </c>
      <c r="G35">
        <f t="shared" si="23"/>
        <v>2793</v>
      </c>
      <c r="H35">
        <v>0.87239999999999995</v>
      </c>
      <c r="I35">
        <v>1.28</v>
      </c>
      <c r="J35">
        <f t="shared" si="24"/>
        <v>1.2549999999999999</v>
      </c>
      <c r="K35">
        <f t="shared" si="19"/>
        <v>3914.175444479999</v>
      </c>
      <c r="L35">
        <v>20</v>
      </c>
      <c r="M35">
        <v>1.3</v>
      </c>
      <c r="N35">
        <f t="shared" si="20"/>
        <v>2.3594059405940593</v>
      </c>
      <c r="O35">
        <v>0</v>
      </c>
      <c r="P35">
        <v>0.93</v>
      </c>
      <c r="Q35">
        <v>2.2999999999999998</v>
      </c>
      <c r="R35">
        <f t="shared" si="21"/>
        <v>3.1389999999999998</v>
      </c>
      <c r="S35">
        <v>1.1499999999999999</v>
      </c>
      <c r="T35">
        <v>1</v>
      </c>
      <c r="U35">
        <f t="shared" si="22"/>
        <v>33337.429685083509</v>
      </c>
      <c r="V35" s="7"/>
    </row>
    <row r="36" spans="6:22" x14ac:dyDescent="0.3">
      <c r="F36" s="6" t="s">
        <v>37</v>
      </c>
      <c r="G36">
        <f t="shared" si="23"/>
        <v>2793</v>
      </c>
      <c r="H36">
        <v>0.72950000000000004</v>
      </c>
      <c r="I36">
        <v>1.28</v>
      </c>
      <c r="J36">
        <f t="shared" si="24"/>
        <v>1.2549999999999999</v>
      </c>
      <c r="K36">
        <f t="shared" si="19"/>
        <v>3273.0295584</v>
      </c>
      <c r="L36">
        <v>20</v>
      </c>
      <c r="M36">
        <v>1.3</v>
      </c>
      <c r="N36">
        <f t="shared" si="20"/>
        <v>2.3594059405940593</v>
      </c>
      <c r="O36">
        <v>0</v>
      </c>
      <c r="P36">
        <v>0.93</v>
      </c>
      <c r="Q36">
        <v>2.2999999999999998</v>
      </c>
      <c r="R36">
        <f t="shared" si="21"/>
        <v>3.1389999999999998</v>
      </c>
      <c r="S36">
        <v>1.1499999999999999</v>
      </c>
      <c r="T36">
        <v>1</v>
      </c>
      <c r="U36">
        <f t="shared" si="22"/>
        <v>27876.725074814789</v>
      </c>
      <c r="V36" s="7"/>
    </row>
    <row r="37" spans="6:22" x14ac:dyDescent="0.3">
      <c r="F37" s="6" t="s">
        <v>38</v>
      </c>
      <c r="G37">
        <f t="shared" si="23"/>
        <v>2793</v>
      </c>
      <c r="H37">
        <v>0.87239999999999995</v>
      </c>
      <c r="I37">
        <v>1.28</v>
      </c>
      <c r="J37">
        <f t="shared" si="24"/>
        <v>1.2549999999999999</v>
      </c>
      <c r="K37">
        <f t="shared" si="19"/>
        <v>3914.175444479999</v>
      </c>
      <c r="L37">
        <v>20</v>
      </c>
      <c r="M37">
        <v>1.3</v>
      </c>
      <c r="N37">
        <f t="shared" si="20"/>
        <v>2.3594059405940593</v>
      </c>
      <c r="O37">
        <v>0</v>
      </c>
      <c r="P37">
        <v>0.93</v>
      </c>
      <c r="Q37">
        <v>2.2999999999999998</v>
      </c>
      <c r="R37">
        <f t="shared" si="21"/>
        <v>3.1389999999999998</v>
      </c>
      <c r="S37">
        <v>1.1499999999999999</v>
      </c>
      <c r="T37">
        <v>1</v>
      </c>
      <c r="U37">
        <f t="shared" si="22"/>
        <v>33337.429685083509</v>
      </c>
      <c r="V37" s="7"/>
    </row>
    <row r="38" spans="6:22" x14ac:dyDescent="0.3">
      <c r="F38" s="6" t="s">
        <v>39</v>
      </c>
      <c r="G38">
        <f t="shared" si="23"/>
        <v>2793</v>
      </c>
      <c r="H38">
        <v>0.72950000000000004</v>
      </c>
      <c r="I38">
        <v>1.28</v>
      </c>
      <c r="J38">
        <f t="shared" si="24"/>
        <v>1.2549999999999999</v>
      </c>
      <c r="K38">
        <f t="shared" si="19"/>
        <v>3273.0295584</v>
      </c>
      <c r="L38">
        <v>20</v>
      </c>
      <c r="M38">
        <v>1.3</v>
      </c>
      <c r="N38">
        <f t="shared" si="20"/>
        <v>2.3594059405940593</v>
      </c>
      <c r="O38">
        <v>0</v>
      </c>
      <c r="P38">
        <v>0.93</v>
      </c>
      <c r="Q38">
        <v>2.2999999999999998</v>
      </c>
      <c r="R38">
        <f t="shared" si="21"/>
        <v>3.1389999999999998</v>
      </c>
      <c r="S38">
        <v>0.9</v>
      </c>
      <c r="T38">
        <v>1</v>
      </c>
      <c r="U38">
        <f t="shared" si="22"/>
        <v>21816.567449855054</v>
      </c>
      <c r="V38" s="7"/>
    </row>
    <row r="39" spans="6:22" x14ac:dyDescent="0.3">
      <c r="F39" s="6" t="s">
        <v>40</v>
      </c>
      <c r="G39">
        <f t="shared" si="23"/>
        <v>2793</v>
      </c>
      <c r="H39">
        <v>0.87239999999999995</v>
      </c>
      <c r="I39">
        <v>1.28</v>
      </c>
      <c r="J39">
        <f t="shared" si="24"/>
        <v>1.2549999999999999</v>
      </c>
      <c r="K39">
        <f t="shared" si="19"/>
        <v>3914.175444479999</v>
      </c>
      <c r="L39">
        <v>20</v>
      </c>
      <c r="M39">
        <v>1.3</v>
      </c>
      <c r="N39">
        <f t="shared" si="20"/>
        <v>2.3594059405940593</v>
      </c>
      <c r="O39">
        <v>0</v>
      </c>
      <c r="P39">
        <v>0.93</v>
      </c>
      <c r="Q39">
        <v>2.2999999999999998</v>
      </c>
      <c r="R39">
        <f t="shared" si="21"/>
        <v>3.1389999999999998</v>
      </c>
      <c r="S39">
        <v>0.9</v>
      </c>
      <c r="T39">
        <v>1</v>
      </c>
      <c r="U39">
        <f t="shared" si="22"/>
        <v>26090.162362239269</v>
      </c>
      <c r="V39" s="7"/>
    </row>
    <row r="40" spans="6:22" x14ac:dyDescent="0.3">
      <c r="F40" s="6" t="s">
        <v>41</v>
      </c>
      <c r="G40">
        <v>2604</v>
      </c>
      <c r="H40">
        <v>0.72950000000000004</v>
      </c>
      <c r="I40">
        <v>1.28</v>
      </c>
      <c r="J40">
        <v>1.24</v>
      </c>
      <c r="K40">
        <f t="shared" si="19"/>
        <v>3015.0736896000003</v>
      </c>
      <c r="L40">
        <v>20</v>
      </c>
      <c r="M40">
        <v>0.8</v>
      </c>
      <c r="N40">
        <f t="shared" si="20"/>
        <v>1.8594059405940595</v>
      </c>
      <c r="O40">
        <v>0</v>
      </c>
      <c r="P40">
        <v>0.93</v>
      </c>
      <c r="Q40">
        <v>2.2999999999999998</v>
      </c>
      <c r="R40">
        <f t="shared" si="21"/>
        <v>3.1389999999999998</v>
      </c>
      <c r="S40">
        <v>0.9</v>
      </c>
      <c r="T40">
        <v>1</v>
      </c>
      <c r="U40">
        <f t="shared" si="22"/>
        <v>15838.205376196307</v>
      </c>
      <c r="V40" s="7"/>
    </row>
    <row r="41" spans="6:22" x14ac:dyDescent="0.3">
      <c r="F41" s="6"/>
      <c r="V41" s="7"/>
    </row>
    <row r="42" spans="6:22" x14ac:dyDescent="0.3">
      <c r="F42" s="6"/>
      <c r="G42" t="s">
        <v>1</v>
      </c>
      <c r="H42" t="s">
        <v>5</v>
      </c>
      <c r="I42" t="s">
        <v>7</v>
      </c>
      <c r="J42" t="s">
        <v>7</v>
      </c>
      <c r="K42" t="s">
        <v>8</v>
      </c>
      <c r="L42" t="s">
        <v>22</v>
      </c>
      <c r="M42" t="s">
        <v>0</v>
      </c>
      <c r="N42" t="s">
        <v>11</v>
      </c>
      <c r="O42" t="s">
        <v>12</v>
      </c>
      <c r="P42" t="s">
        <v>13</v>
      </c>
      <c r="Q42" t="s">
        <v>15</v>
      </c>
      <c r="R42" t="s">
        <v>23</v>
      </c>
      <c r="S42" t="s">
        <v>24</v>
      </c>
      <c r="T42" t="s">
        <v>16</v>
      </c>
      <c r="V42" s="7"/>
    </row>
    <row r="43" spans="6:22" x14ac:dyDescent="0.3">
      <c r="F43" s="6"/>
      <c r="G43">
        <f>G31</f>
        <v>2604</v>
      </c>
      <c r="H43">
        <v>1.9454</v>
      </c>
      <c r="I43">
        <v>1</v>
      </c>
      <c r="J43">
        <v>1</v>
      </c>
      <c r="K43">
        <f>G43*H43*I43*J43</f>
        <v>5065.8216000000002</v>
      </c>
      <c r="L43">
        <v>1</v>
      </c>
      <c r="M43">
        <v>0.93</v>
      </c>
      <c r="N43">
        <v>2.2999999999999998</v>
      </c>
      <c r="O43">
        <f>1+M43*N43</f>
        <v>3.1389999999999998</v>
      </c>
      <c r="P43">
        <v>0.9</v>
      </c>
      <c r="Q43">
        <f>K43*L43*O43*P43</f>
        <v>14311.45260216</v>
      </c>
      <c r="R43">
        <v>1</v>
      </c>
      <c r="S43">
        <f>Q43*R43</f>
        <v>14311.45260216</v>
      </c>
      <c r="T43">
        <f>SUM(S43:S44)</f>
        <v>136818.63331352998</v>
      </c>
      <c r="V43" s="7"/>
    </row>
    <row r="44" spans="6:22" ht="14.5" thickBot="1" x14ac:dyDescent="0.35">
      <c r="F44" s="8"/>
      <c r="G44" s="9">
        <f>G35</f>
        <v>2793</v>
      </c>
      <c r="H44" s="9">
        <v>1.7251000000000001</v>
      </c>
      <c r="I44" s="9">
        <v>1</v>
      </c>
      <c r="J44" s="9">
        <v>1</v>
      </c>
      <c r="K44" s="9">
        <f>G44*H44*I44*J44</f>
        <v>4818.2043000000003</v>
      </c>
      <c r="L44" s="9">
        <v>1</v>
      </c>
      <c r="M44" s="9">
        <v>0.93</v>
      </c>
      <c r="N44" s="9">
        <v>2.2999999999999998</v>
      </c>
      <c r="O44" s="9">
        <f>1+M44*N44</f>
        <v>3.1389999999999998</v>
      </c>
      <c r="P44" s="9">
        <v>0.9</v>
      </c>
      <c r="Q44" s="9">
        <f>K44*L44*O44*P44</f>
        <v>13611.90896793</v>
      </c>
      <c r="R44" s="9">
        <v>9</v>
      </c>
      <c r="S44" s="9">
        <f>Q44*R44</f>
        <v>122507.18071136999</v>
      </c>
      <c r="T44" s="9"/>
      <c r="U44" s="9"/>
      <c r="V44" s="10"/>
    </row>
    <row r="46" spans="6:22" ht="14.5" thickBot="1" x14ac:dyDescent="0.35">
      <c r="F46" s="22" t="s">
        <v>53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spans="6:22" x14ac:dyDescent="0.3">
      <c r="F47" s="3"/>
      <c r="G47" s="4" t="s">
        <v>42</v>
      </c>
      <c r="H47" s="4" t="s">
        <v>43</v>
      </c>
      <c r="I47" s="4" t="s">
        <v>6</v>
      </c>
      <c r="J47" s="4" t="s">
        <v>2</v>
      </c>
      <c r="K47" s="4" t="s">
        <v>18</v>
      </c>
      <c r="L47" s="4" t="s">
        <v>9</v>
      </c>
      <c r="M47" s="4" t="s">
        <v>0</v>
      </c>
      <c r="N47" s="4" t="s">
        <v>11</v>
      </c>
      <c r="O47" s="4" t="s">
        <v>12</v>
      </c>
      <c r="P47" s="4" t="s">
        <v>13</v>
      </c>
      <c r="Q47" s="4" t="s">
        <v>14</v>
      </c>
      <c r="R47" s="4" t="s">
        <v>48</v>
      </c>
      <c r="S47" s="4" t="s">
        <v>49</v>
      </c>
      <c r="T47" s="4" t="s">
        <v>51</v>
      </c>
      <c r="U47" s="5" t="s">
        <v>16</v>
      </c>
    </row>
    <row r="48" spans="6:22" x14ac:dyDescent="0.3">
      <c r="F48" s="6" t="s">
        <v>44</v>
      </c>
      <c r="G48">
        <v>1446.85</v>
      </c>
      <c r="H48">
        <v>2</v>
      </c>
      <c r="I48">
        <v>1.28</v>
      </c>
      <c r="J48">
        <v>200</v>
      </c>
      <c r="K48">
        <v>2.38</v>
      </c>
      <c r="L48">
        <f>1+6*J48/(J48+2000)+K48</f>
        <v>3.9254545454545453</v>
      </c>
      <c r="M48">
        <v>0.85</v>
      </c>
      <c r="N48">
        <v>2.2200000000000002</v>
      </c>
      <c r="O48">
        <f>1+M48*N48</f>
        <v>2.887</v>
      </c>
      <c r="P48">
        <v>1.1499999999999999</v>
      </c>
      <c r="Q48">
        <v>1</v>
      </c>
      <c r="R48">
        <v>0.6</v>
      </c>
      <c r="S48">
        <f>G48*H48*I48*L48*O48*P48*Q48*R48</f>
        <v>28963.383944259487</v>
      </c>
      <c r="T48">
        <v>2</v>
      </c>
      <c r="U48" s="7">
        <f>T50*T48</f>
        <v>73393.794043504793</v>
      </c>
    </row>
    <row r="49" spans="6:21" x14ac:dyDescent="0.3">
      <c r="F49" s="6" t="s">
        <v>45</v>
      </c>
      <c r="G49">
        <v>1446.85</v>
      </c>
      <c r="H49">
        <v>2</v>
      </c>
      <c r="I49">
        <v>1.28</v>
      </c>
      <c r="J49">
        <v>0</v>
      </c>
      <c r="K49">
        <v>1.9</v>
      </c>
      <c r="L49">
        <f t="shared" ref="L49:L51" si="25">1+6*J49/(J49+2000)+K49</f>
        <v>2.9</v>
      </c>
      <c r="M49">
        <v>0.5</v>
      </c>
      <c r="N49">
        <v>1.5</v>
      </c>
      <c r="O49">
        <f t="shared" ref="O49:O51" si="26">1+M49*N49</f>
        <v>1.75</v>
      </c>
      <c r="P49">
        <v>0.9</v>
      </c>
      <c r="Q49">
        <v>1</v>
      </c>
      <c r="R49">
        <v>0.3</v>
      </c>
      <c r="S49">
        <f t="shared" ref="S49:S51" si="27">G49*H49*I49*L49*O49*P49*Q49*R49</f>
        <v>5075.3183039999994</v>
      </c>
      <c r="T49" t="s">
        <v>15</v>
      </c>
      <c r="U49" s="7"/>
    </row>
    <row r="50" spans="6:21" x14ac:dyDescent="0.3">
      <c r="F50" s="6" t="s">
        <v>46</v>
      </c>
      <c r="G50">
        <v>1446.85</v>
      </c>
      <c r="H50">
        <v>2</v>
      </c>
      <c r="I50">
        <v>1.28</v>
      </c>
      <c r="J50">
        <v>20</v>
      </c>
      <c r="K50">
        <v>1.3</v>
      </c>
      <c r="L50">
        <f t="shared" si="25"/>
        <v>2.3594059405940593</v>
      </c>
      <c r="M50">
        <v>0.93</v>
      </c>
      <c r="N50">
        <v>2.2999999999999998</v>
      </c>
      <c r="O50">
        <f t="shared" si="26"/>
        <v>3.1389999999999998</v>
      </c>
      <c r="P50">
        <v>1.1499999999999999</v>
      </c>
      <c r="Q50">
        <v>1</v>
      </c>
      <c r="R50">
        <v>0.05</v>
      </c>
      <c r="S50">
        <f t="shared" si="27"/>
        <v>1577.3399494929104</v>
      </c>
      <c r="T50">
        <f>SUM(S48:S51)</f>
        <v>36696.897021752397</v>
      </c>
      <c r="U50" s="7"/>
    </row>
    <row r="51" spans="6:21" x14ac:dyDescent="0.3">
      <c r="F51" s="6" t="s">
        <v>47</v>
      </c>
      <c r="G51">
        <v>1446.85</v>
      </c>
      <c r="H51">
        <v>2</v>
      </c>
      <c r="I51">
        <v>1.28</v>
      </c>
      <c r="J51">
        <v>0</v>
      </c>
      <c r="K51">
        <v>1.9</v>
      </c>
      <c r="L51">
        <f t="shared" si="25"/>
        <v>2.9</v>
      </c>
      <c r="M51">
        <v>0.5</v>
      </c>
      <c r="N51">
        <v>1.5</v>
      </c>
      <c r="O51">
        <f t="shared" si="26"/>
        <v>1.75</v>
      </c>
      <c r="P51">
        <v>1.1499999999999999</v>
      </c>
      <c r="Q51">
        <v>1</v>
      </c>
      <c r="R51">
        <v>0.05</v>
      </c>
      <c r="S51">
        <f t="shared" si="27"/>
        <v>1080.854824</v>
      </c>
      <c r="U51" s="7"/>
    </row>
    <row r="52" spans="6:21" x14ac:dyDescent="0.3">
      <c r="F52" s="6"/>
      <c r="U52" s="7"/>
    </row>
    <row r="53" spans="6:21" x14ac:dyDescent="0.3">
      <c r="F53" s="6"/>
      <c r="G53" t="s">
        <v>42</v>
      </c>
      <c r="H53" t="s">
        <v>43</v>
      </c>
      <c r="I53" t="s">
        <v>6</v>
      </c>
      <c r="J53" t="s">
        <v>2</v>
      </c>
      <c r="K53" t="s">
        <v>18</v>
      </c>
      <c r="L53" t="s">
        <v>9</v>
      </c>
      <c r="M53" t="s">
        <v>0</v>
      </c>
      <c r="N53" t="s">
        <v>11</v>
      </c>
      <c r="O53" t="s">
        <v>12</v>
      </c>
      <c r="P53" t="s">
        <v>13</v>
      </c>
      <c r="Q53" t="s">
        <v>14</v>
      </c>
      <c r="R53" t="s">
        <v>48</v>
      </c>
      <c r="S53" t="s">
        <v>49</v>
      </c>
      <c r="T53" t="s">
        <v>51</v>
      </c>
      <c r="U53" s="7" t="s">
        <v>16</v>
      </c>
    </row>
    <row r="54" spans="6:21" x14ac:dyDescent="0.3">
      <c r="F54" s="6" t="s">
        <v>44</v>
      </c>
      <c r="G54">
        <v>1446.85</v>
      </c>
      <c r="H54">
        <v>2</v>
      </c>
      <c r="I54">
        <v>1.28</v>
      </c>
      <c r="J54">
        <v>200</v>
      </c>
      <c r="K54">
        <v>2.38</v>
      </c>
      <c r="L54">
        <f>1+6*J54/(J54+2000)+K54</f>
        <v>3.9254545454545453</v>
      </c>
      <c r="M54">
        <v>0.85</v>
      </c>
      <c r="N54">
        <v>2.2200000000000002</v>
      </c>
      <c r="O54">
        <f>1+M54*N54</f>
        <v>2.887</v>
      </c>
      <c r="P54">
        <v>0.9</v>
      </c>
      <c r="Q54">
        <v>1</v>
      </c>
      <c r="R54">
        <v>0.6</v>
      </c>
      <c r="S54">
        <f>G54*H54*I54*L54*O54*P54*Q54*R54</f>
        <v>22666.996130290037</v>
      </c>
      <c r="T54">
        <v>2</v>
      </c>
      <c r="U54" s="7">
        <f>T56*T54</f>
        <v>59645.281557525501</v>
      </c>
    </row>
    <row r="55" spans="6:21" x14ac:dyDescent="0.3">
      <c r="F55" s="6" t="s">
        <v>45</v>
      </c>
      <c r="G55">
        <v>1446.85</v>
      </c>
      <c r="H55">
        <v>2</v>
      </c>
      <c r="I55">
        <v>1.28</v>
      </c>
      <c r="J55">
        <v>0</v>
      </c>
      <c r="K55">
        <v>1.9</v>
      </c>
      <c r="L55">
        <f t="shared" ref="L55:L57" si="28">1+6*J55/(J55+2000)+K55</f>
        <v>2.9</v>
      </c>
      <c r="M55">
        <v>0.5</v>
      </c>
      <c r="N55">
        <v>1.5</v>
      </c>
      <c r="O55">
        <f t="shared" ref="O55:O57" si="29">1+M55*N55</f>
        <v>1.75</v>
      </c>
      <c r="P55">
        <v>0.9</v>
      </c>
      <c r="Q55">
        <v>1</v>
      </c>
      <c r="R55">
        <v>0.3</v>
      </c>
      <c r="S55">
        <f t="shared" ref="S55:S57" si="30">G55*H55*I55*L55*O55*P55*Q55*R55</f>
        <v>5075.3183039999994</v>
      </c>
      <c r="T55" t="s">
        <v>15</v>
      </c>
      <c r="U55" s="7"/>
    </row>
    <row r="56" spans="6:21" x14ac:dyDescent="0.3">
      <c r="F56" s="6" t="s">
        <v>46</v>
      </c>
      <c r="G56">
        <v>1446.85</v>
      </c>
      <c r="H56">
        <v>2</v>
      </c>
      <c r="I56">
        <v>1.28</v>
      </c>
      <c r="J56">
        <v>20</v>
      </c>
      <c r="K56">
        <v>1.3</v>
      </c>
      <c r="L56">
        <f t="shared" si="28"/>
        <v>2.3594059405940593</v>
      </c>
      <c r="M56">
        <v>0.93</v>
      </c>
      <c r="N56">
        <v>2.2999999999999998</v>
      </c>
      <c r="O56">
        <f t="shared" si="29"/>
        <v>3.1389999999999998</v>
      </c>
      <c r="P56">
        <v>0.9</v>
      </c>
      <c r="Q56">
        <v>1</v>
      </c>
      <c r="R56">
        <v>0.05</v>
      </c>
      <c r="S56">
        <f t="shared" si="30"/>
        <v>1234.4399604727125</v>
      </c>
      <c r="T56">
        <f>SUM(S54:S57)</f>
        <v>29822.64077876275</v>
      </c>
      <c r="U56" s="7"/>
    </row>
    <row r="57" spans="6:21" ht="14.5" thickBot="1" x14ac:dyDescent="0.35">
      <c r="F57" s="8" t="s">
        <v>47</v>
      </c>
      <c r="G57" s="9">
        <v>1446.85</v>
      </c>
      <c r="H57" s="9">
        <v>2</v>
      </c>
      <c r="I57" s="9">
        <v>1.28</v>
      </c>
      <c r="J57" s="9">
        <v>0</v>
      </c>
      <c r="K57">
        <v>1.9</v>
      </c>
      <c r="L57" s="9">
        <f t="shared" si="28"/>
        <v>2.9</v>
      </c>
      <c r="M57">
        <v>0.5</v>
      </c>
      <c r="N57" s="9">
        <v>1.5</v>
      </c>
      <c r="O57" s="9">
        <f t="shared" si="29"/>
        <v>1.75</v>
      </c>
      <c r="P57" s="9">
        <v>0.9</v>
      </c>
      <c r="Q57" s="9">
        <v>1</v>
      </c>
      <c r="R57" s="9">
        <v>0.05</v>
      </c>
      <c r="S57" s="9">
        <f t="shared" si="30"/>
        <v>845.88638400000002</v>
      </c>
      <c r="T57" s="9"/>
      <c r="U57" s="10"/>
    </row>
    <row r="58" spans="6:21" ht="14.5" thickBot="1" x14ac:dyDescent="0.35">
      <c r="F58" s="23" t="s">
        <v>54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6:21" x14ac:dyDescent="0.3">
      <c r="F59" s="3"/>
      <c r="G59" s="4" t="s">
        <v>42</v>
      </c>
      <c r="H59" s="4" t="s">
        <v>52</v>
      </c>
      <c r="I59" s="4" t="s">
        <v>6</v>
      </c>
      <c r="J59" s="4" t="s">
        <v>2</v>
      </c>
      <c r="K59" s="4" t="s">
        <v>18</v>
      </c>
      <c r="L59" s="4" t="s">
        <v>9</v>
      </c>
      <c r="M59" s="4" t="s">
        <v>0</v>
      </c>
      <c r="N59" s="4" t="s">
        <v>11</v>
      </c>
      <c r="O59" s="4" t="s">
        <v>12</v>
      </c>
      <c r="P59" s="4" t="s">
        <v>13</v>
      </c>
      <c r="Q59" s="4" t="s">
        <v>14</v>
      </c>
      <c r="R59" s="4" t="s">
        <v>48</v>
      </c>
      <c r="S59" s="4" t="s">
        <v>49</v>
      </c>
      <c r="T59" s="4" t="s">
        <v>51</v>
      </c>
      <c r="U59" s="5" t="s">
        <v>16</v>
      </c>
    </row>
    <row r="60" spans="6:21" x14ac:dyDescent="0.3">
      <c r="F60" s="6" t="s">
        <v>44</v>
      </c>
      <c r="G60">
        <v>1446.85</v>
      </c>
      <c r="H60">
        <v>0.75</v>
      </c>
      <c r="I60">
        <v>1.28</v>
      </c>
      <c r="J60">
        <v>0</v>
      </c>
      <c r="K60">
        <v>1.9</v>
      </c>
      <c r="L60">
        <f t="shared" ref="L60" si="31">1+6*J60/(J60+2000)+K60</f>
        <v>2.9</v>
      </c>
      <c r="M60">
        <v>0.5</v>
      </c>
      <c r="N60">
        <v>1.5</v>
      </c>
      <c r="O60">
        <f t="shared" ref="O60" si="32">1+M60*N60</f>
        <v>1.75</v>
      </c>
      <c r="P60">
        <v>0.9</v>
      </c>
      <c r="Q60">
        <v>1</v>
      </c>
      <c r="R60">
        <v>0.6</v>
      </c>
      <c r="S60">
        <f>G60*H60*I60*L60*O60*P60*Q60*R60</f>
        <v>3806.4887279999994</v>
      </c>
      <c r="T60">
        <v>4</v>
      </c>
      <c r="U60" s="7">
        <f>T62*T60</f>
        <v>40935.785030433974</v>
      </c>
    </row>
    <row r="61" spans="6:21" x14ac:dyDescent="0.3">
      <c r="F61" s="6" t="s">
        <v>45</v>
      </c>
      <c r="G61">
        <v>1446.85</v>
      </c>
      <c r="H61">
        <v>0.75</v>
      </c>
      <c r="I61">
        <v>1.28</v>
      </c>
      <c r="J61">
        <v>200</v>
      </c>
      <c r="K61">
        <v>2.38</v>
      </c>
      <c r="L61">
        <f>1+6*J61/(J61+2000)+K61</f>
        <v>3.9254545454545453</v>
      </c>
      <c r="M61">
        <v>0.85</v>
      </c>
      <c r="N61">
        <v>2.2200000000000002</v>
      </c>
      <c r="O61">
        <f>1+M61*N61</f>
        <v>2.887</v>
      </c>
      <c r="P61">
        <v>1.1499999999999999</v>
      </c>
      <c r="Q61">
        <v>1</v>
      </c>
      <c r="R61">
        <v>0.3</v>
      </c>
      <c r="S61">
        <f t="shared" ref="S61:S63" si="33">G61*H61*I61*L61*O61*P61*Q61*R61</f>
        <v>5430.6344895486536</v>
      </c>
      <c r="T61" t="s">
        <v>15</v>
      </c>
      <c r="U61" s="7"/>
    </row>
    <row r="62" spans="6:21" x14ac:dyDescent="0.3">
      <c r="F62" s="6" t="s">
        <v>46</v>
      </c>
      <c r="G62">
        <v>1446.85</v>
      </c>
      <c r="H62">
        <v>0.75</v>
      </c>
      <c r="I62">
        <v>1.28</v>
      </c>
      <c r="J62">
        <v>20</v>
      </c>
      <c r="K62">
        <v>1.3</v>
      </c>
      <c r="L62">
        <f t="shared" ref="L62:L63" si="34">1+6*J62/(J62+2000)+K62</f>
        <v>2.3594059405940593</v>
      </c>
      <c r="M62">
        <v>0.93</v>
      </c>
      <c r="N62">
        <v>2.2999999999999998</v>
      </c>
      <c r="O62">
        <f t="shared" ref="O62:O63" si="35">1+M62*N62</f>
        <v>3.1389999999999998</v>
      </c>
      <c r="P62">
        <v>1.1499999999999999</v>
      </c>
      <c r="Q62">
        <v>1</v>
      </c>
      <c r="R62">
        <v>0.05</v>
      </c>
      <c r="S62">
        <f t="shared" si="33"/>
        <v>591.50248105984144</v>
      </c>
      <c r="T62">
        <f>SUM(S60:S63)</f>
        <v>10233.946257608493</v>
      </c>
      <c r="U62" s="7"/>
    </row>
    <row r="63" spans="6:21" x14ac:dyDescent="0.3">
      <c r="F63" s="6" t="s">
        <v>47</v>
      </c>
      <c r="G63">
        <v>1446.85</v>
      </c>
      <c r="H63">
        <v>0.75</v>
      </c>
      <c r="I63">
        <v>1.28</v>
      </c>
      <c r="J63">
        <v>0</v>
      </c>
      <c r="K63">
        <v>1.9</v>
      </c>
      <c r="L63">
        <f t="shared" si="34"/>
        <v>2.9</v>
      </c>
      <c r="M63">
        <v>0.5</v>
      </c>
      <c r="N63">
        <v>1.5</v>
      </c>
      <c r="O63">
        <f t="shared" si="35"/>
        <v>1.75</v>
      </c>
      <c r="P63">
        <v>1.1499999999999999</v>
      </c>
      <c r="Q63">
        <v>1</v>
      </c>
      <c r="R63">
        <v>0.05</v>
      </c>
      <c r="S63">
        <f t="shared" si="33"/>
        <v>405.32055899999995</v>
      </c>
      <c r="U63" s="7"/>
    </row>
    <row r="64" spans="6:21" x14ac:dyDescent="0.3">
      <c r="F64" s="6"/>
      <c r="U64" s="7"/>
    </row>
    <row r="65" spans="6:21" x14ac:dyDescent="0.3">
      <c r="F65" s="6"/>
      <c r="G65" t="s">
        <v>42</v>
      </c>
      <c r="H65" t="s">
        <v>52</v>
      </c>
      <c r="I65" t="s">
        <v>6</v>
      </c>
      <c r="J65" t="s">
        <v>2</v>
      </c>
      <c r="K65" t="s">
        <v>18</v>
      </c>
      <c r="L65" t="s">
        <v>9</v>
      </c>
      <c r="M65" t="s">
        <v>0</v>
      </c>
      <c r="N65" t="s">
        <v>11</v>
      </c>
      <c r="O65" t="s">
        <v>12</v>
      </c>
      <c r="P65" t="s">
        <v>13</v>
      </c>
      <c r="Q65" t="s">
        <v>14</v>
      </c>
      <c r="R65" t="s">
        <v>48</v>
      </c>
      <c r="S65" t="s">
        <v>49</v>
      </c>
      <c r="T65" t="s">
        <v>51</v>
      </c>
      <c r="U65" s="7" t="s">
        <v>16</v>
      </c>
    </row>
    <row r="66" spans="6:21" x14ac:dyDescent="0.3">
      <c r="F66" s="6" t="s">
        <v>44</v>
      </c>
      <c r="G66">
        <v>1446.85</v>
      </c>
      <c r="H66">
        <v>0.75</v>
      </c>
      <c r="I66">
        <v>1.28</v>
      </c>
      <c r="J66">
        <v>0</v>
      </c>
      <c r="K66">
        <v>1.9</v>
      </c>
      <c r="L66">
        <f t="shared" ref="L66" si="36">1+6*J66/(J66+2000)+K66</f>
        <v>2.9</v>
      </c>
      <c r="M66">
        <v>0.5</v>
      </c>
      <c r="N66">
        <v>1.5</v>
      </c>
      <c r="O66">
        <f t="shared" ref="O66" si="37">1+M66*N66</f>
        <v>1.75</v>
      </c>
      <c r="P66">
        <v>0.9</v>
      </c>
      <c r="Q66">
        <v>1</v>
      </c>
      <c r="R66">
        <v>0.6</v>
      </c>
      <c r="S66">
        <f>G66*H66*I66*L66*O66*P66*Q66*R66</f>
        <v>3806.4887279999994</v>
      </c>
      <c r="T66">
        <v>2</v>
      </c>
      <c r="U66" s="7">
        <f>T68*T66</f>
        <v>18106.747084978444</v>
      </c>
    </row>
    <row r="67" spans="6:21" x14ac:dyDescent="0.3">
      <c r="F67" s="6" t="s">
        <v>45</v>
      </c>
      <c r="G67">
        <v>1446.85</v>
      </c>
      <c r="H67">
        <v>0.75</v>
      </c>
      <c r="I67">
        <v>1.28</v>
      </c>
      <c r="J67">
        <v>200</v>
      </c>
      <c r="K67">
        <v>2.38</v>
      </c>
      <c r="L67">
        <f>1+6*J67/(J67+2000)+K67</f>
        <v>3.9254545454545453</v>
      </c>
      <c r="M67">
        <v>0.85</v>
      </c>
      <c r="N67">
        <v>2.2200000000000002</v>
      </c>
      <c r="O67">
        <f>1+M67*N67</f>
        <v>2.887</v>
      </c>
      <c r="P67">
        <v>0.9</v>
      </c>
      <c r="Q67">
        <v>1</v>
      </c>
      <c r="R67">
        <v>0.3</v>
      </c>
      <c r="S67">
        <f t="shared" ref="S67:S69" si="38">G67*H67*I67*L67*O67*P67*Q67*R67</f>
        <v>4250.0617744293813</v>
      </c>
      <c r="T67" t="s">
        <v>15</v>
      </c>
      <c r="U67" s="7"/>
    </row>
    <row r="68" spans="6:21" x14ac:dyDescent="0.3">
      <c r="F68" s="6" t="s">
        <v>46</v>
      </c>
      <c r="G68">
        <v>1446.85</v>
      </c>
      <c r="H68">
        <v>0.75</v>
      </c>
      <c r="I68">
        <v>1.28</v>
      </c>
      <c r="J68">
        <v>20</v>
      </c>
      <c r="K68">
        <v>1.3</v>
      </c>
      <c r="L68">
        <f t="shared" ref="L68:L69" si="39">1+6*J68/(J68+2000)+K68</f>
        <v>2.3594059405940593</v>
      </c>
      <c r="M68">
        <v>0.93</v>
      </c>
      <c r="N68">
        <v>2.2999999999999998</v>
      </c>
      <c r="O68">
        <f t="shared" ref="O68:O69" si="40">1+M68*N68</f>
        <v>3.1389999999999998</v>
      </c>
      <c r="P68">
        <v>1.1499999999999999</v>
      </c>
      <c r="Q68">
        <v>1</v>
      </c>
      <c r="R68">
        <v>0.05</v>
      </c>
      <c r="S68">
        <f t="shared" si="38"/>
        <v>591.50248105984144</v>
      </c>
      <c r="T68">
        <f>SUM(S66:S69)</f>
        <v>9053.373542489222</v>
      </c>
      <c r="U68" s="7"/>
    </row>
    <row r="69" spans="6:21" ht="14.5" thickBot="1" x14ac:dyDescent="0.35">
      <c r="F69" s="8" t="s">
        <v>47</v>
      </c>
      <c r="G69" s="9">
        <v>1446.85</v>
      </c>
      <c r="H69" s="9">
        <v>0.75</v>
      </c>
      <c r="I69" s="9">
        <v>1.28</v>
      </c>
      <c r="J69" s="9">
        <v>0</v>
      </c>
      <c r="K69">
        <v>1.9</v>
      </c>
      <c r="L69" s="9">
        <f t="shared" si="39"/>
        <v>2.9</v>
      </c>
      <c r="M69" s="9">
        <v>0.5</v>
      </c>
      <c r="N69" s="9">
        <v>1.5</v>
      </c>
      <c r="O69" s="9">
        <f t="shared" si="40"/>
        <v>1.75</v>
      </c>
      <c r="P69" s="9">
        <v>1.1499999999999999</v>
      </c>
      <c r="Q69" s="9">
        <v>1</v>
      </c>
      <c r="R69" s="9">
        <v>0.05</v>
      </c>
      <c r="S69" s="9">
        <f t="shared" si="38"/>
        <v>405.32055899999995</v>
      </c>
      <c r="T69" s="9"/>
      <c r="U69" s="10"/>
    </row>
  </sheetData>
  <mergeCells count="5">
    <mergeCell ref="A1:D1"/>
    <mergeCell ref="F29:V29"/>
    <mergeCell ref="F46:U46"/>
    <mergeCell ref="F58:U58"/>
    <mergeCell ref="A2:A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C188-0093-4A72-930D-6E3F1A974411}">
  <dimension ref="A1:V69"/>
  <sheetViews>
    <sheetView topLeftCell="A16" zoomScale="60" zoomScaleNormal="60" workbookViewId="0">
      <selection activeCell="T75" sqref="T75"/>
    </sheetView>
  </sheetViews>
  <sheetFormatPr defaultRowHeight="14" x14ac:dyDescent="0.3"/>
  <cols>
    <col min="2" max="2" width="10.1640625" customWidth="1"/>
    <col min="6" max="6" width="3.75" customWidth="1"/>
  </cols>
  <sheetData>
    <row r="1" spans="1:22" x14ac:dyDescent="0.3">
      <c r="A1" s="24" t="s">
        <v>60</v>
      </c>
      <c r="B1" s="25"/>
      <c r="C1" s="25"/>
      <c r="D1" s="26"/>
      <c r="F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  <c r="L1" t="s">
        <v>2</v>
      </c>
      <c r="M1" t="s">
        <v>18</v>
      </c>
      <c r="N1" t="s">
        <v>9</v>
      </c>
      <c r="O1" t="s">
        <v>10</v>
      </c>
      <c r="P1" t="s">
        <v>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3">
      <c r="A2" s="28" t="s">
        <v>27</v>
      </c>
      <c r="B2" s="1" t="s">
        <v>25</v>
      </c>
      <c r="C2" s="1" t="s">
        <v>26</v>
      </c>
      <c r="D2" s="1" t="s">
        <v>28</v>
      </c>
      <c r="F2" t="s">
        <v>17</v>
      </c>
      <c r="G2">
        <f>3199+488+203</f>
        <v>3890</v>
      </c>
      <c r="H2">
        <v>2.9355000000000002</v>
      </c>
      <c r="I2">
        <v>1.28</v>
      </c>
      <c r="J2">
        <v>1</v>
      </c>
      <c r="K2">
        <f>G2*H2*I2*J2</f>
        <v>14616.441600000002</v>
      </c>
      <c r="L2">
        <v>200</v>
      </c>
      <c r="M2">
        <v>2.23</v>
      </c>
      <c r="N2">
        <f>1+6*L2/(L2+2000)+M2</f>
        <v>3.7754545454545454</v>
      </c>
      <c r="O2">
        <v>0</v>
      </c>
      <c r="P2">
        <v>0.85</v>
      </c>
      <c r="Q2">
        <v>2.62</v>
      </c>
      <c r="R2">
        <f>1+P2*Q2</f>
        <v>3.2269999999999999</v>
      </c>
      <c r="S2">
        <v>1.1499999999999999</v>
      </c>
      <c r="T2">
        <v>1</v>
      </c>
      <c r="U2">
        <f>(K2*N2+O2)*R2*S2*T2</f>
        <v>204789.51025042823</v>
      </c>
      <c r="V2">
        <f>SUM(U2:U20)</f>
        <v>3923254.7569272113</v>
      </c>
    </row>
    <row r="3" spans="1:22" x14ac:dyDescent="0.3">
      <c r="A3" s="28"/>
      <c r="B3" s="1">
        <f>B5+B7+B9</f>
        <v>5189973.6277338481</v>
      </c>
      <c r="C3" s="1">
        <f>B3/D3</f>
        <v>241394.12222017898</v>
      </c>
      <c r="D3" s="1">
        <v>21.5</v>
      </c>
      <c r="F3" t="s">
        <v>58</v>
      </c>
      <c r="G3">
        <f>3199+488+203</f>
        <v>3890</v>
      </c>
      <c r="H3">
        <v>1.875</v>
      </c>
      <c r="I3">
        <v>1.28</v>
      </c>
      <c r="J3">
        <v>1</v>
      </c>
      <c r="K3">
        <f t="shared" ref="K3:K20" si="0">G3*H3*I3*J3</f>
        <v>9336</v>
      </c>
      <c r="L3">
        <v>200</v>
      </c>
      <c r="M3">
        <v>2.23</v>
      </c>
      <c r="N3">
        <f t="shared" ref="N3:N20" si="1">1+6*L3/(L3+2000)+M3</f>
        <v>3.7754545454545454</v>
      </c>
      <c r="O3">
        <v>0</v>
      </c>
      <c r="P3">
        <v>0.85</v>
      </c>
      <c r="Q3">
        <v>2.2200000000000002</v>
      </c>
      <c r="R3">
        <f t="shared" ref="R3:R20" si="2">1+P3*Q3</f>
        <v>2.887</v>
      </c>
      <c r="S3">
        <v>1.1499999999999999</v>
      </c>
      <c r="T3">
        <v>1</v>
      </c>
      <c r="U3">
        <f t="shared" ref="U3:U20" si="3">(K3*N3+O3)*R3*S3*T3</f>
        <v>117023.9392549091</v>
      </c>
    </row>
    <row r="4" spans="1:22" x14ac:dyDescent="0.3">
      <c r="A4" s="28"/>
      <c r="B4" s="1" t="s">
        <v>29</v>
      </c>
      <c r="C4" s="1" t="s">
        <v>30</v>
      </c>
      <c r="D4" s="1"/>
      <c r="F4" t="s">
        <v>17</v>
      </c>
      <c r="G4">
        <f t="shared" ref="G4:G12" si="4">3199+488+203</f>
        <v>3890</v>
      </c>
      <c r="H4">
        <v>2.9355000000000002</v>
      </c>
      <c r="I4">
        <v>1.28</v>
      </c>
      <c r="J4">
        <v>1</v>
      </c>
      <c r="K4">
        <f t="shared" si="0"/>
        <v>14616.441600000002</v>
      </c>
      <c r="L4">
        <v>200</v>
      </c>
      <c r="M4">
        <v>2.38</v>
      </c>
      <c r="N4">
        <f t="shared" si="1"/>
        <v>3.9254545454545453</v>
      </c>
      <c r="O4">
        <v>0</v>
      </c>
      <c r="P4">
        <v>0.85</v>
      </c>
      <c r="Q4">
        <v>2.82</v>
      </c>
      <c r="R4">
        <f t="shared" si="2"/>
        <v>3.3969999999999998</v>
      </c>
      <c r="S4">
        <v>1.1499999999999999</v>
      </c>
      <c r="T4">
        <v>1</v>
      </c>
      <c r="U4">
        <f t="shared" si="3"/>
        <v>224142.90471677145</v>
      </c>
    </row>
    <row r="5" spans="1:22" x14ac:dyDescent="0.3">
      <c r="A5" s="28"/>
      <c r="B5" s="1">
        <f>V2+T23</f>
        <v>4411592.4456461519</v>
      </c>
      <c r="C5" s="2">
        <f>B5/B3</f>
        <v>0.85002213153295558</v>
      </c>
      <c r="D5" s="1"/>
      <c r="F5" t="s">
        <v>17</v>
      </c>
      <c r="G5">
        <f t="shared" si="4"/>
        <v>3890</v>
      </c>
      <c r="H5">
        <v>2.9355000000000002</v>
      </c>
      <c r="I5">
        <v>1.28</v>
      </c>
      <c r="J5">
        <v>1</v>
      </c>
      <c r="K5">
        <f t="shared" si="0"/>
        <v>14616.441600000002</v>
      </c>
      <c r="L5">
        <v>200</v>
      </c>
      <c r="M5">
        <v>2.38</v>
      </c>
      <c r="N5">
        <f t="shared" si="1"/>
        <v>3.9254545454545453</v>
      </c>
      <c r="O5">
        <v>0</v>
      </c>
      <c r="P5">
        <v>0.85</v>
      </c>
      <c r="Q5">
        <v>3.02</v>
      </c>
      <c r="R5">
        <f t="shared" si="2"/>
        <v>3.5669999999999997</v>
      </c>
      <c r="S5">
        <v>1.1499999999999999</v>
      </c>
      <c r="T5">
        <v>1</v>
      </c>
      <c r="U5">
        <f t="shared" si="3"/>
        <v>235359.94734316276</v>
      </c>
    </row>
    <row r="6" spans="1:22" x14ac:dyDescent="0.3">
      <c r="A6" s="28"/>
      <c r="B6" s="1" t="s">
        <v>31</v>
      </c>
      <c r="C6" s="2" t="s">
        <v>30</v>
      </c>
      <c r="D6" s="1"/>
      <c r="F6" t="s">
        <v>17</v>
      </c>
      <c r="G6">
        <f t="shared" si="4"/>
        <v>3890</v>
      </c>
      <c r="H6">
        <v>2.9355000000000002</v>
      </c>
      <c r="I6">
        <v>1.28</v>
      </c>
      <c r="J6">
        <v>1</v>
      </c>
      <c r="K6">
        <f t="shared" si="0"/>
        <v>14616.441600000002</v>
      </c>
      <c r="L6">
        <v>200</v>
      </c>
      <c r="M6">
        <v>2.38</v>
      </c>
      <c r="N6">
        <f t="shared" si="1"/>
        <v>3.9254545454545453</v>
      </c>
      <c r="O6">
        <v>0</v>
      </c>
      <c r="P6">
        <v>0.85</v>
      </c>
      <c r="Q6">
        <v>3.22</v>
      </c>
      <c r="R6">
        <f t="shared" si="2"/>
        <v>3.7370000000000001</v>
      </c>
      <c r="S6">
        <v>1.1499999999999999</v>
      </c>
      <c r="T6">
        <v>1</v>
      </c>
      <c r="U6">
        <f t="shared" si="3"/>
        <v>246576.98996955404</v>
      </c>
    </row>
    <row r="7" spans="1:22" x14ac:dyDescent="0.3">
      <c r="A7" s="28"/>
      <c r="B7" s="1">
        <f>V31+T43</f>
        <v>586299.57437125291</v>
      </c>
      <c r="C7" s="2">
        <f>B7/B3</f>
        <v>0.11296773672186365</v>
      </c>
      <c r="D7" s="1"/>
      <c r="F7" t="s">
        <v>58</v>
      </c>
      <c r="G7">
        <f t="shared" si="4"/>
        <v>3890</v>
      </c>
      <c r="H7">
        <v>1.875</v>
      </c>
      <c r="I7">
        <v>1.28</v>
      </c>
      <c r="J7">
        <v>1</v>
      </c>
      <c r="K7">
        <f t="shared" si="0"/>
        <v>9336</v>
      </c>
      <c r="L7">
        <v>200</v>
      </c>
      <c r="M7">
        <v>2.38</v>
      </c>
      <c r="N7">
        <f t="shared" si="1"/>
        <v>3.9254545454545453</v>
      </c>
      <c r="O7">
        <v>0</v>
      </c>
      <c r="P7">
        <v>0.85</v>
      </c>
      <c r="Q7">
        <v>2.2200000000000002</v>
      </c>
      <c r="R7">
        <f t="shared" si="2"/>
        <v>2.887</v>
      </c>
      <c r="S7">
        <v>1.1499999999999999</v>
      </c>
      <c r="T7">
        <v>1</v>
      </c>
      <c r="U7">
        <f t="shared" si="3"/>
        <v>121673.33727490906</v>
      </c>
    </row>
    <row r="8" spans="1:22" x14ac:dyDescent="0.3">
      <c r="A8" s="28"/>
      <c r="B8" s="1" t="s">
        <v>50</v>
      </c>
      <c r="C8" s="2" t="s">
        <v>30</v>
      </c>
      <c r="D8" s="1"/>
      <c r="F8" t="s">
        <v>17</v>
      </c>
      <c r="G8">
        <f t="shared" si="4"/>
        <v>3890</v>
      </c>
      <c r="H8">
        <v>2.9355000000000002</v>
      </c>
      <c r="I8">
        <v>1.28</v>
      </c>
      <c r="J8">
        <v>1</v>
      </c>
      <c r="K8">
        <f t="shared" si="0"/>
        <v>14616.441600000002</v>
      </c>
      <c r="L8">
        <v>200</v>
      </c>
      <c r="M8">
        <v>2.38</v>
      </c>
      <c r="N8">
        <f t="shared" si="1"/>
        <v>3.9254545454545453</v>
      </c>
      <c r="O8">
        <v>0</v>
      </c>
      <c r="P8">
        <v>0.85</v>
      </c>
      <c r="Q8">
        <v>3.22</v>
      </c>
      <c r="R8">
        <f t="shared" si="2"/>
        <v>3.7370000000000001</v>
      </c>
      <c r="S8">
        <v>1.1499999999999999</v>
      </c>
      <c r="T8">
        <v>1</v>
      </c>
      <c r="U8">
        <f t="shared" si="3"/>
        <v>246576.98996955404</v>
      </c>
    </row>
    <row r="9" spans="1:22" x14ac:dyDescent="0.3">
      <c r="A9" s="28"/>
      <c r="B9" s="1">
        <f>U48+U54+U60+U66</f>
        <v>192081.6077164427</v>
      </c>
      <c r="C9" s="2">
        <f>B9/B3</f>
        <v>3.7010131745180613E-2</v>
      </c>
      <c r="D9" s="1"/>
      <c r="F9" t="s">
        <v>17</v>
      </c>
      <c r="G9">
        <f t="shared" si="4"/>
        <v>3890</v>
      </c>
      <c r="H9">
        <v>2.9355000000000002</v>
      </c>
      <c r="I9">
        <v>1.28</v>
      </c>
      <c r="J9">
        <v>1</v>
      </c>
      <c r="K9">
        <f t="shared" si="0"/>
        <v>14616.441600000002</v>
      </c>
      <c r="L9">
        <v>200</v>
      </c>
      <c r="M9">
        <v>2.38</v>
      </c>
      <c r="N9">
        <f t="shared" si="1"/>
        <v>3.9254545454545453</v>
      </c>
      <c r="O9">
        <v>0</v>
      </c>
      <c r="P9">
        <v>0.85</v>
      </c>
      <c r="Q9">
        <v>3.22</v>
      </c>
      <c r="R9">
        <f t="shared" si="2"/>
        <v>3.7370000000000001</v>
      </c>
      <c r="S9">
        <v>1.1499999999999999</v>
      </c>
      <c r="T9">
        <v>1</v>
      </c>
      <c r="U9">
        <f t="shared" si="3"/>
        <v>246576.98996955404</v>
      </c>
    </row>
    <row r="10" spans="1:22" x14ac:dyDescent="0.3">
      <c r="F10" s="6" t="s">
        <v>20</v>
      </c>
      <c r="G10">
        <f t="shared" si="4"/>
        <v>3890</v>
      </c>
      <c r="H10">
        <v>7.0294999999999996</v>
      </c>
      <c r="I10">
        <v>1.28</v>
      </c>
      <c r="J10">
        <v>2</v>
      </c>
      <c r="K10">
        <f t="shared" si="0"/>
        <v>70002.572799999994</v>
      </c>
      <c r="L10">
        <v>200</v>
      </c>
      <c r="M10">
        <v>2.38</v>
      </c>
      <c r="N10">
        <f t="shared" si="1"/>
        <v>3.9254545454545453</v>
      </c>
      <c r="O10">
        <v>0</v>
      </c>
      <c r="P10">
        <v>0.85</v>
      </c>
      <c r="Q10">
        <v>2.2200000000000002</v>
      </c>
      <c r="R10">
        <f t="shared" si="2"/>
        <v>2.887</v>
      </c>
      <c r="S10">
        <v>1.1499999999999999</v>
      </c>
      <c r="T10">
        <v>1</v>
      </c>
      <c r="U10">
        <f t="shared" si="3"/>
        <v>912322.90599890472</v>
      </c>
    </row>
    <row r="11" spans="1:22" x14ac:dyDescent="0.3">
      <c r="F11" s="6" t="s">
        <v>19</v>
      </c>
      <c r="G11">
        <f t="shared" si="4"/>
        <v>3890</v>
      </c>
      <c r="H11">
        <v>0.58320000000000005</v>
      </c>
      <c r="I11">
        <v>1.28</v>
      </c>
      <c r="J11">
        <v>4</v>
      </c>
      <c r="K11">
        <f t="shared" si="0"/>
        <v>11615.477760000002</v>
      </c>
      <c r="L11">
        <v>200</v>
      </c>
      <c r="M11">
        <v>2.38</v>
      </c>
      <c r="N11">
        <f t="shared" si="1"/>
        <v>3.9254545454545453</v>
      </c>
      <c r="O11">
        <v>0</v>
      </c>
      <c r="P11">
        <v>0.85</v>
      </c>
      <c r="Q11">
        <v>2.2200000000000002</v>
      </c>
      <c r="R11">
        <f t="shared" si="2"/>
        <v>2.887</v>
      </c>
      <c r="S11">
        <v>1.1499999999999999</v>
      </c>
      <c r="T11">
        <v>1</v>
      </c>
      <c r="U11">
        <f t="shared" si="3"/>
        <v>151381.0993039509</v>
      </c>
    </row>
    <row r="12" spans="1:22" x14ac:dyDescent="0.3">
      <c r="F12" t="s">
        <v>58</v>
      </c>
      <c r="G12">
        <f t="shared" si="4"/>
        <v>3890</v>
      </c>
      <c r="H12">
        <v>1.875</v>
      </c>
      <c r="I12">
        <v>1.28</v>
      </c>
      <c r="J12">
        <v>1</v>
      </c>
      <c r="K12">
        <f t="shared" si="0"/>
        <v>9336</v>
      </c>
      <c r="L12">
        <v>200</v>
      </c>
      <c r="M12">
        <v>2.38</v>
      </c>
      <c r="N12">
        <f t="shared" si="1"/>
        <v>3.9254545454545453</v>
      </c>
      <c r="O12">
        <v>0</v>
      </c>
      <c r="P12">
        <v>0.85</v>
      </c>
      <c r="Q12">
        <v>2.2200000000000002</v>
      </c>
      <c r="R12">
        <f t="shared" si="2"/>
        <v>2.887</v>
      </c>
      <c r="S12">
        <v>1.1499999999999999</v>
      </c>
      <c r="T12">
        <v>1</v>
      </c>
      <c r="U12">
        <f t="shared" si="3"/>
        <v>121673.33727490906</v>
      </c>
    </row>
    <row r="13" spans="1:22" x14ac:dyDescent="0.3">
      <c r="F13" t="s">
        <v>17</v>
      </c>
      <c r="G13">
        <f>3199+488+203</f>
        <v>3890</v>
      </c>
      <c r="H13">
        <v>2.9355000000000002</v>
      </c>
      <c r="I13">
        <v>1.28</v>
      </c>
      <c r="J13">
        <v>1</v>
      </c>
      <c r="K13">
        <f t="shared" si="0"/>
        <v>14616.441600000002</v>
      </c>
      <c r="L13">
        <v>200</v>
      </c>
      <c r="M13">
        <v>2.38</v>
      </c>
      <c r="N13">
        <f t="shared" si="1"/>
        <v>3.9254545454545453</v>
      </c>
      <c r="O13">
        <v>0</v>
      </c>
      <c r="P13">
        <v>0.85</v>
      </c>
      <c r="Q13">
        <v>2.62</v>
      </c>
      <c r="R13">
        <f t="shared" si="2"/>
        <v>3.2269999999999999</v>
      </c>
      <c r="S13">
        <v>0.9</v>
      </c>
      <c r="T13">
        <v>1</v>
      </c>
      <c r="U13">
        <f t="shared" si="3"/>
        <v>166637.63120116713</v>
      </c>
    </row>
    <row r="14" spans="1:22" x14ac:dyDescent="0.3">
      <c r="F14" t="s">
        <v>17</v>
      </c>
      <c r="G14">
        <f>3199+203</f>
        <v>3402</v>
      </c>
      <c r="H14">
        <v>2.9355000000000002</v>
      </c>
      <c r="I14">
        <v>1.28</v>
      </c>
      <c r="J14">
        <v>1</v>
      </c>
      <c r="K14">
        <f t="shared" si="0"/>
        <v>12782.810880000001</v>
      </c>
      <c r="L14">
        <v>200</v>
      </c>
      <c r="M14">
        <v>2.38</v>
      </c>
      <c r="N14">
        <f t="shared" si="1"/>
        <v>3.9254545454545453</v>
      </c>
      <c r="O14">
        <v>0</v>
      </c>
      <c r="P14">
        <v>0.85</v>
      </c>
      <c r="Q14">
        <v>2.82</v>
      </c>
      <c r="R14">
        <f t="shared" si="2"/>
        <v>3.3969999999999998</v>
      </c>
      <c r="S14">
        <v>0.9</v>
      </c>
      <c r="T14">
        <v>1</v>
      </c>
      <c r="U14">
        <f t="shared" si="3"/>
        <v>153410.24827580439</v>
      </c>
    </row>
    <row r="15" spans="1:22" x14ac:dyDescent="0.3">
      <c r="F15" t="s">
        <v>17</v>
      </c>
      <c r="G15">
        <f t="shared" ref="G15:G17" si="5">3199+203</f>
        <v>3402</v>
      </c>
      <c r="H15">
        <v>2.9355000000000002</v>
      </c>
      <c r="I15">
        <v>1.28</v>
      </c>
      <c r="J15">
        <v>1</v>
      </c>
      <c r="K15">
        <f t="shared" si="0"/>
        <v>12782.810880000001</v>
      </c>
      <c r="L15">
        <v>200</v>
      </c>
      <c r="M15">
        <v>2.38</v>
      </c>
      <c r="N15">
        <f t="shared" si="1"/>
        <v>3.9254545454545453</v>
      </c>
      <c r="O15">
        <v>0</v>
      </c>
      <c r="P15">
        <v>0.85</v>
      </c>
      <c r="Q15">
        <v>3.02</v>
      </c>
      <c r="R15">
        <f t="shared" si="2"/>
        <v>3.5669999999999997</v>
      </c>
      <c r="S15">
        <v>0.9</v>
      </c>
      <c r="T15">
        <v>1</v>
      </c>
      <c r="U15">
        <f t="shared" si="3"/>
        <v>161087.5347659094</v>
      </c>
    </row>
    <row r="16" spans="1:22" x14ac:dyDescent="0.3">
      <c r="F16" t="s">
        <v>58</v>
      </c>
      <c r="G16">
        <f t="shared" si="5"/>
        <v>3402</v>
      </c>
      <c r="H16">
        <v>1.875</v>
      </c>
      <c r="I16">
        <v>1.28</v>
      </c>
      <c r="J16">
        <v>1</v>
      </c>
      <c r="K16">
        <f t="shared" si="0"/>
        <v>8164.8</v>
      </c>
      <c r="L16">
        <v>200</v>
      </c>
      <c r="M16">
        <v>2.38</v>
      </c>
      <c r="N16">
        <f t="shared" si="1"/>
        <v>3.9254545454545453</v>
      </c>
      <c r="O16">
        <v>0</v>
      </c>
      <c r="P16">
        <v>0.85</v>
      </c>
      <c r="Q16">
        <v>2.2200000000000002</v>
      </c>
      <c r="R16">
        <f t="shared" si="2"/>
        <v>2.887</v>
      </c>
      <c r="S16">
        <v>0.9</v>
      </c>
      <c r="T16">
        <v>1</v>
      </c>
      <c r="U16">
        <f t="shared" si="3"/>
        <v>83276.947371927265</v>
      </c>
    </row>
    <row r="17" spans="6:22" x14ac:dyDescent="0.3">
      <c r="F17" t="s">
        <v>17</v>
      </c>
      <c r="G17">
        <f t="shared" si="5"/>
        <v>3402</v>
      </c>
      <c r="H17">
        <v>2.9355000000000002</v>
      </c>
      <c r="I17">
        <v>1.28</v>
      </c>
      <c r="J17">
        <v>1</v>
      </c>
      <c r="K17">
        <f t="shared" si="0"/>
        <v>12782.810880000001</v>
      </c>
      <c r="L17">
        <v>200</v>
      </c>
      <c r="M17">
        <v>2.38</v>
      </c>
      <c r="N17">
        <f t="shared" si="1"/>
        <v>3.9254545454545453</v>
      </c>
      <c r="O17">
        <v>0</v>
      </c>
      <c r="P17">
        <v>0.85</v>
      </c>
      <c r="Q17">
        <v>3.22</v>
      </c>
      <c r="R17">
        <f t="shared" si="2"/>
        <v>3.7370000000000001</v>
      </c>
      <c r="S17">
        <v>0.9</v>
      </c>
      <c r="T17">
        <v>1</v>
      </c>
      <c r="U17">
        <f t="shared" si="3"/>
        <v>168764.82125601446</v>
      </c>
    </row>
    <row r="18" spans="6:22" x14ac:dyDescent="0.3">
      <c r="F18" t="s">
        <v>17</v>
      </c>
      <c r="G18">
        <f>3199</f>
        <v>3199</v>
      </c>
      <c r="H18">
        <v>2.9355000000000002</v>
      </c>
      <c r="I18">
        <v>1.28</v>
      </c>
      <c r="J18">
        <v>1</v>
      </c>
      <c r="K18">
        <f t="shared" si="0"/>
        <v>12020.050560000001</v>
      </c>
      <c r="L18">
        <v>200</v>
      </c>
      <c r="M18">
        <v>1.88</v>
      </c>
      <c r="N18">
        <f t="shared" si="1"/>
        <v>3.4254545454545453</v>
      </c>
      <c r="O18">
        <v>0</v>
      </c>
      <c r="P18">
        <v>0.85</v>
      </c>
      <c r="Q18">
        <v>3.22</v>
      </c>
      <c r="R18">
        <f t="shared" si="2"/>
        <v>3.7370000000000001</v>
      </c>
      <c r="S18">
        <v>0.9</v>
      </c>
      <c r="T18">
        <v>1</v>
      </c>
      <c r="U18">
        <f t="shared" si="3"/>
        <v>138480.974391411</v>
      </c>
    </row>
    <row r="19" spans="6:22" x14ac:dyDescent="0.3">
      <c r="F19" t="s">
        <v>17</v>
      </c>
      <c r="G19">
        <f>3199</f>
        <v>3199</v>
      </c>
      <c r="H19">
        <v>2.9355000000000002</v>
      </c>
      <c r="I19">
        <v>1.28</v>
      </c>
      <c r="J19">
        <v>1</v>
      </c>
      <c r="K19">
        <f t="shared" si="0"/>
        <v>12020.050560000001</v>
      </c>
      <c r="L19">
        <v>200</v>
      </c>
      <c r="M19">
        <v>1.88</v>
      </c>
      <c r="N19">
        <f t="shared" si="1"/>
        <v>3.4254545454545453</v>
      </c>
      <c r="O19">
        <v>0</v>
      </c>
      <c r="P19">
        <v>0.85</v>
      </c>
      <c r="Q19">
        <v>3.22</v>
      </c>
      <c r="R19">
        <f t="shared" si="2"/>
        <v>3.7370000000000001</v>
      </c>
      <c r="S19">
        <v>0.9</v>
      </c>
      <c r="T19">
        <v>1</v>
      </c>
      <c r="U19">
        <f t="shared" si="3"/>
        <v>138480.974391411</v>
      </c>
    </row>
    <row r="20" spans="6:22" x14ac:dyDescent="0.3">
      <c r="F20" s="6" t="s">
        <v>19</v>
      </c>
      <c r="G20">
        <f>3199</f>
        <v>3199</v>
      </c>
      <c r="H20">
        <v>0.58320000000000005</v>
      </c>
      <c r="I20">
        <v>1.28</v>
      </c>
      <c r="J20">
        <v>4</v>
      </c>
      <c r="K20">
        <f t="shared" si="0"/>
        <v>9552.1628160000018</v>
      </c>
      <c r="L20">
        <v>200</v>
      </c>
      <c r="M20">
        <v>1.88</v>
      </c>
      <c r="N20">
        <f t="shared" si="1"/>
        <v>3.4254545454545453</v>
      </c>
      <c r="O20">
        <v>0</v>
      </c>
      <c r="P20">
        <v>0.85</v>
      </c>
      <c r="Q20">
        <v>2.2200000000000002</v>
      </c>
      <c r="R20">
        <f t="shared" si="2"/>
        <v>2.887</v>
      </c>
      <c r="S20">
        <v>0.9</v>
      </c>
      <c r="T20">
        <v>1</v>
      </c>
      <c r="U20">
        <f t="shared" si="3"/>
        <v>85017.673946958763</v>
      </c>
    </row>
    <row r="22" spans="6:22" x14ac:dyDescent="0.3">
      <c r="G22" t="s">
        <v>1</v>
      </c>
      <c r="H22" t="s">
        <v>5</v>
      </c>
      <c r="I22" t="s">
        <v>7</v>
      </c>
      <c r="J22" t="s">
        <v>7</v>
      </c>
      <c r="K22" t="s">
        <v>8</v>
      </c>
      <c r="L22" t="s">
        <v>22</v>
      </c>
      <c r="M22" t="s">
        <v>0</v>
      </c>
      <c r="N22" t="s">
        <v>11</v>
      </c>
      <c r="O22" t="s">
        <v>12</v>
      </c>
      <c r="P22" t="s">
        <v>13</v>
      </c>
      <c r="Q22" t="s">
        <v>15</v>
      </c>
      <c r="R22" t="s">
        <v>23</v>
      </c>
      <c r="S22" t="s">
        <v>24</v>
      </c>
      <c r="T22" t="s">
        <v>16</v>
      </c>
    </row>
    <row r="23" spans="6:22" x14ac:dyDescent="0.3">
      <c r="G23">
        <f>3199+488+203</f>
        <v>3890</v>
      </c>
      <c r="H23">
        <v>1.03</v>
      </c>
      <c r="I23">
        <v>1</v>
      </c>
      <c r="J23">
        <v>1</v>
      </c>
      <c r="K23">
        <f>G23*H23*I23*J23</f>
        <v>4006.7000000000003</v>
      </c>
      <c r="L23">
        <v>1</v>
      </c>
      <c r="M23">
        <v>0.85</v>
      </c>
      <c r="N23">
        <v>2.2200000000000002</v>
      </c>
      <c r="O23">
        <f>1+M23*N23</f>
        <v>2.887</v>
      </c>
      <c r="P23">
        <v>1.1499999999999999</v>
      </c>
      <c r="Q23">
        <f>K23*L23*O23*P23</f>
        <v>13302.444335</v>
      </c>
      <c r="R23">
        <v>18</v>
      </c>
      <c r="S23">
        <f>Q23*R23</f>
        <v>239443.99803000002</v>
      </c>
      <c r="T23">
        <f>SUM(S23:S29)</f>
        <v>488337.68871894013</v>
      </c>
    </row>
    <row r="24" spans="6:22" x14ac:dyDescent="0.3">
      <c r="G24">
        <f t="shared" ref="G24:G25" si="6">3199+488+203</f>
        <v>3890</v>
      </c>
      <c r="H24">
        <v>1.8746</v>
      </c>
      <c r="I24">
        <v>3</v>
      </c>
      <c r="J24">
        <v>1</v>
      </c>
      <c r="K24">
        <f t="shared" ref="K24:K25" si="7">G24*H24*I24*J24</f>
        <v>21876.582000000002</v>
      </c>
      <c r="L24">
        <v>1</v>
      </c>
      <c r="M24">
        <v>0.85</v>
      </c>
      <c r="N24">
        <v>2.2200000000000002</v>
      </c>
      <c r="O24">
        <f t="shared" ref="O24:O25" si="8">1+M24*N24</f>
        <v>2.887</v>
      </c>
      <c r="P24">
        <v>1.1499999999999999</v>
      </c>
      <c r="Q24">
        <f t="shared" ref="Q24:Q25" si="9">K24*L24*O24*P24</f>
        <v>72631.346069100007</v>
      </c>
      <c r="R24">
        <v>1</v>
      </c>
      <c r="S24">
        <f t="shared" ref="S24:S25" si="10">Q24*R24</f>
        <v>72631.346069100007</v>
      </c>
    </row>
    <row r="25" spans="6:22" x14ac:dyDescent="0.3">
      <c r="G25">
        <f t="shared" si="6"/>
        <v>3890</v>
      </c>
      <c r="H25">
        <v>0.58320000000000005</v>
      </c>
      <c r="I25">
        <v>1</v>
      </c>
      <c r="J25">
        <v>1</v>
      </c>
      <c r="K25">
        <f t="shared" si="7"/>
        <v>2268.6480000000001</v>
      </c>
      <c r="L25">
        <v>1</v>
      </c>
      <c r="M25">
        <v>0.85</v>
      </c>
      <c r="N25">
        <v>2.2200000000000002</v>
      </c>
      <c r="O25">
        <f t="shared" si="8"/>
        <v>2.887</v>
      </c>
      <c r="P25">
        <v>1.1499999999999999</v>
      </c>
      <c r="Q25">
        <f t="shared" si="9"/>
        <v>7532.0247923999996</v>
      </c>
      <c r="R25">
        <v>1</v>
      </c>
      <c r="S25">
        <f t="shared" si="10"/>
        <v>7532.0247923999996</v>
      </c>
    </row>
    <row r="26" spans="6:22" x14ac:dyDescent="0.3">
      <c r="G26">
        <f>G14</f>
        <v>3402</v>
      </c>
      <c r="H26">
        <v>1.03</v>
      </c>
      <c r="I26">
        <v>1</v>
      </c>
      <c r="J26">
        <v>1</v>
      </c>
      <c r="K26">
        <f>G26*H26*I26*J26</f>
        <v>3504.06</v>
      </c>
      <c r="L26">
        <v>1</v>
      </c>
      <c r="M26">
        <v>0.85</v>
      </c>
      <c r="N26">
        <v>2.2200000000000002</v>
      </c>
      <c r="O26">
        <f>1+M26*N26</f>
        <v>2.887</v>
      </c>
      <c r="P26">
        <v>0.9</v>
      </c>
      <c r="Q26">
        <f>K26*L26*O26*P26</f>
        <v>9104.5990980000006</v>
      </c>
      <c r="R26">
        <v>18</v>
      </c>
      <c r="S26">
        <f>Q26*R26</f>
        <v>163882.78376400002</v>
      </c>
    </row>
    <row r="27" spans="6:22" x14ac:dyDescent="0.3">
      <c r="G27">
        <f>G20</f>
        <v>3199</v>
      </c>
      <c r="H27">
        <v>0.58320000000000005</v>
      </c>
      <c r="I27">
        <v>1</v>
      </c>
      <c r="J27">
        <v>1</v>
      </c>
      <c r="K27">
        <f t="shared" ref="K27" si="11">G27*H27*I27*J27</f>
        <v>1865.6568000000002</v>
      </c>
      <c r="L27">
        <v>1</v>
      </c>
      <c r="M27">
        <v>0.85</v>
      </c>
      <c r="N27">
        <v>2.2200000000000002</v>
      </c>
      <c r="O27">
        <f t="shared" ref="O27" si="12">1+M27*N27</f>
        <v>2.887</v>
      </c>
      <c r="P27">
        <v>0.9</v>
      </c>
      <c r="Q27">
        <f t="shared" ref="Q27" si="13">K27*L27*O27*P27</f>
        <v>4847.5360634400004</v>
      </c>
      <c r="R27">
        <v>1</v>
      </c>
      <c r="S27">
        <f t="shared" ref="S27" si="14">Q27*R27</f>
        <v>4847.5360634400004</v>
      </c>
    </row>
    <row r="28" spans="6:22" ht="14.5" thickBot="1" x14ac:dyDescent="0.35"/>
    <row r="29" spans="6:22" x14ac:dyDescent="0.3">
      <c r="F29" s="19" t="s">
        <v>3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1"/>
    </row>
    <row r="30" spans="6:22" x14ac:dyDescent="0.3">
      <c r="F30" s="6" t="s">
        <v>4</v>
      </c>
      <c r="G30" t="s">
        <v>1</v>
      </c>
      <c r="H30" t="s">
        <v>5</v>
      </c>
      <c r="I30" t="s">
        <v>6</v>
      </c>
      <c r="J30" t="s">
        <v>7</v>
      </c>
      <c r="K30" t="s">
        <v>8</v>
      </c>
      <c r="L30" t="s">
        <v>2</v>
      </c>
      <c r="M30" t="s">
        <v>18</v>
      </c>
      <c r="N30" t="s">
        <v>9</v>
      </c>
      <c r="O30" t="s">
        <v>10</v>
      </c>
      <c r="P30" t="s">
        <v>0</v>
      </c>
      <c r="Q30" t="s">
        <v>11</v>
      </c>
      <c r="R30" t="s">
        <v>12</v>
      </c>
      <c r="S30" t="s">
        <v>13</v>
      </c>
      <c r="T30" t="s">
        <v>14</v>
      </c>
      <c r="U30" t="s">
        <v>15</v>
      </c>
      <c r="V30" s="7" t="s">
        <v>16</v>
      </c>
    </row>
    <row r="31" spans="6:22" x14ac:dyDescent="0.3">
      <c r="F31" s="6" t="s">
        <v>32</v>
      </c>
      <c r="G31">
        <v>2604</v>
      </c>
      <c r="H31">
        <v>8.2554999999999996</v>
      </c>
      <c r="I31">
        <v>1.28</v>
      </c>
      <c r="J31">
        <f>16*0.015+1</f>
        <v>1.24</v>
      </c>
      <c r="K31">
        <f>G31*H31*I31*J31</f>
        <v>34120.549478399997</v>
      </c>
      <c r="L31">
        <v>20</v>
      </c>
      <c r="M31">
        <v>1.1000000000000001</v>
      </c>
      <c r="N31">
        <f>1+6*L31/(L31+2000)+M31</f>
        <v>2.1594059405940595</v>
      </c>
      <c r="O31">
        <v>0</v>
      </c>
      <c r="P31">
        <v>0.93</v>
      </c>
      <c r="Q31">
        <v>2.2999999999999998</v>
      </c>
      <c r="R31">
        <f>1+P31*Q31</f>
        <v>3.1389999999999998</v>
      </c>
      <c r="S31">
        <v>0.9</v>
      </c>
      <c r="T31">
        <v>1</v>
      </c>
      <c r="U31">
        <f>(K31*N31+O31)*R31*S31*T31</f>
        <v>208153.69921469712</v>
      </c>
      <c r="V31" s="7">
        <f>SUM(U31:U40)</f>
        <v>449480.94105772296</v>
      </c>
    </row>
    <row r="32" spans="6:22" x14ac:dyDescent="0.3">
      <c r="F32" s="6" t="s">
        <v>33</v>
      </c>
      <c r="G32">
        <f>189+2604</f>
        <v>2793</v>
      </c>
      <c r="H32">
        <v>0.72950000000000004</v>
      </c>
      <c r="I32">
        <v>1.28</v>
      </c>
      <c r="J32">
        <f>17*0.015+1</f>
        <v>1.2549999999999999</v>
      </c>
      <c r="K32">
        <f t="shared" ref="K32:K40" si="15">G32*H32*I32*J32</f>
        <v>3273.0295584</v>
      </c>
      <c r="L32">
        <v>20</v>
      </c>
      <c r="M32">
        <v>1.3</v>
      </c>
      <c r="N32">
        <f t="shared" ref="N32:N40" si="16">1+6*L32/(L32+2000)+M32</f>
        <v>2.3594059405940593</v>
      </c>
      <c r="O32">
        <v>0</v>
      </c>
      <c r="P32">
        <v>0.93</v>
      </c>
      <c r="Q32">
        <v>2.2999999999999998</v>
      </c>
      <c r="R32">
        <f t="shared" ref="R32:R40" si="17">1+P32*Q32</f>
        <v>3.1389999999999998</v>
      </c>
      <c r="S32">
        <v>0.9</v>
      </c>
      <c r="T32">
        <v>1</v>
      </c>
      <c r="U32">
        <f t="shared" ref="U32:U40" si="18">(K32*N32+O32)*R32*S32*T32</f>
        <v>21816.567449855054</v>
      </c>
      <c r="V32" s="7"/>
    </row>
    <row r="33" spans="6:22" x14ac:dyDescent="0.3">
      <c r="F33" s="6" t="s">
        <v>34</v>
      </c>
      <c r="G33">
        <f t="shared" ref="G33:G39" si="19">189+2604</f>
        <v>2793</v>
      </c>
      <c r="H33">
        <v>0.87239999999999995</v>
      </c>
      <c r="I33">
        <v>1.28</v>
      </c>
      <c r="J33">
        <f t="shared" ref="J33:J39" si="20">17*0.015+1</f>
        <v>1.2549999999999999</v>
      </c>
      <c r="K33">
        <f t="shared" si="15"/>
        <v>3914.175444479999</v>
      </c>
      <c r="L33">
        <v>20</v>
      </c>
      <c r="M33">
        <v>1.3</v>
      </c>
      <c r="N33">
        <f t="shared" si="16"/>
        <v>2.3594059405940593</v>
      </c>
      <c r="O33">
        <v>0</v>
      </c>
      <c r="P33">
        <v>0.93</v>
      </c>
      <c r="Q33">
        <v>2.2999999999999998</v>
      </c>
      <c r="R33">
        <f t="shared" si="17"/>
        <v>3.1389999999999998</v>
      </c>
      <c r="S33">
        <v>1.1499999999999999</v>
      </c>
      <c r="T33">
        <v>1</v>
      </c>
      <c r="U33">
        <f t="shared" si="18"/>
        <v>33337.429685083509</v>
      </c>
      <c r="V33" s="7"/>
    </row>
    <row r="34" spans="6:22" x14ac:dyDescent="0.3">
      <c r="F34" s="6" t="s">
        <v>35</v>
      </c>
      <c r="G34">
        <f t="shared" si="19"/>
        <v>2793</v>
      </c>
      <c r="H34">
        <v>0.72950000000000004</v>
      </c>
      <c r="I34">
        <v>1.28</v>
      </c>
      <c r="J34">
        <f t="shared" si="20"/>
        <v>1.2549999999999999</v>
      </c>
      <c r="K34">
        <f t="shared" si="15"/>
        <v>3273.0295584</v>
      </c>
      <c r="L34">
        <v>20</v>
      </c>
      <c r="M34">
        <v>1.3</v>
      </c>
      <c r="N34">
        <f t="shared" si="16"/>
        <v>2.3594059405940593</v>
      </c>
      <c r="O34">
        <v>0</v>
      </c>
      <c r="P34">
        <v>0.93</v>
      </c>
      <c r="Q34">
        <v>2.2999999999999998</v>
      </c>
      <c r="R34">
        <f t="shared" si="17"/>
        <v>3.1389999999999998</v>
      </c>
      <c r="S34">
        <v>1.1499999999999999</v>
      </c>
      <c r="T34">
        <v>1</v>
      </c>
      <c r="U34">
        <f t="shared" si="18"/>
        <v>27876.725074814789</v>
      </c>
      <c r="V34" s="7"/>
    </row>
    <row r="35" spans="6:22" x14ac:dyDescent="0.3">
      <c r="F35" s="6" t="s">
        <v>36</v>
      </c>
      <c r="G35">
        <f t="shared" si="19"/>
        <v>2793</v>
      </c>
      <c r="H35">
        <v>0.87239999999999995</v>
      </c>
      <c r="I35">
        <v>1.28</v>
      </c>
      <c r="J35">
        <f t="shared" si="20"/>
        <v>1.2549999999999999</v>
      </c>
      <c r="K35">
        <f t="shared" si="15"/>
        <v>3914.175444479999</v>
      </c>
      <c r="L35">
        <v>20</v>
      </c>
      <c r="M35">
        <v>1.3</v>
      </c>
      <c r="N35">
        <f t="shared" si="16"/>
        <v>2.3594059405940593</v>
      </c>
      <c r="O35">
        <v>0</v>
      </c>
      <c r="P35">
        <v>0.93</v>
      </c>
      <c r="Q35">
        <v>2.2999999999999998</v>
      </c>
      <c r="R35">
        <f t="shared" si="17"/>
        <v>3.1389999999999998</v>
      </c>
      <c r="S35">
        <v>1.1499999999999999</v>
      </c>
      <c r="T35">
        <v>1</v>
      </c>
      <c r="U35">
        <f t="shared" si="18"/>
        <v>33337.429685083509</v>
      </c>
      <c r="V35" s="7"/>
    </row>
    <row r="36" spans="6:22" x14ac:dyDescent="0.3">
      <c r="F36" s="6" t="s">
        <v>37</v>
      </c>
      <c r="G36">
        <f t="shared" si="19"/>
        <v>2793</v>
      </c>
      <c r="H36">
        <v>0.72950000000000004</v>
      </c>
      <c r="I36">
        <v>1.28</v>
      </c>
      <c r="J36">
        <f t="shared" si="20"/>
        <v>1.2549999999999999</v>
      </c>
      <c r="K36">
        <f t="shared" si="15"/>
        <v>3273.0295584</v>
      </c>
      <c r="L36">
        <v>20</v>
      </c>
      <c r="M36">
        <v>1.3</v>
      </c>
      <c r="N36">
        <f t="shared" si="16"/>
        <v>2.3594059405940593</v>
      </c>
      <c r="O36">
        <v>0</v>
      </c>
      <c r="P36">
        <v>0.93</v>
      </c>
      <c r="Q36">
        <v>2.2999999999999998</v>
      </c>
      <c r="R36">
        <f t="shared" si="17"/>
        <v>3.1389999999999998</v>
      </c>
      <c r="S36">
        <v>1.1499999999999999</v>
      </c>
      <c r="T36">
        <v>1</v>
      </c>
      <c r="U36">
        <f t="shared" si="18"/>
        <v>27876.725074814789</v>
      </c>
      <c r="V36" s="7"/>
    </row>
    <row r="37" spans="6:22" x14ac:dyDescent="0.3">
      <c r="F37" s="6" t="s">
        <v>38</v>
      </c>
      <c r="G37">
        <f t="shared" si="19"/>
        <v>2793</v>
      </c>
      <c r="H37">
        <v>0.87239999999999995</v>
      </c>
      <c r="I37">
        <v>1.28</v>
      </c>
      <c r="J37">
        <f t="shared" si="20"/>
        <v>1.2549999999999999</v>
      </c>
      <c r="K37">
        <f t="shared" si="15"/>
        <v>3914.175444479999</v>
      </c>
      <c r="L37">
        <v>20</v>
      </c>
      <c r="M37">
        <v>1.3</v>
      </c>
      <c r="N37">
        <f t="shared" si="16"/>
        <v>2.3594059405940593</v>
      </c>
      <c r="O37">
        <v>0</v>
      </c>
      <c r="P37">
        <v>0.93</v>
      </c>
      <c r="Q37">
        <v>2.2999999999999998</v>
      </c>
      <c r="R37">
        <f t="shared" si="17"/>
        <v>3.1389999999999998</v>
      </c>
      <c r="S37">
        <v>1.1499999999999999</v>
      </c>
      <c r="T37">
        <v>1</v>
      </c>
      <c r="U37">
        <f t="shared" si="18"/>
        <v>33337.429685083509</v>
      </c>
      <c r="V37" s="7"/>
    </row>
    <row r="38" spans="6:22" x14ac:dyDescent="0.3">
      <c r="F38" s="6" t="s">
        <v>39</v>
      </c>
      <c r="G38">
        <f t="shared" si="19"/>
        <v>2793</v>
      </c>
      <c r="H38">
        <v>0.72950000000000004</v>
      </c>
      <c r="I38">
        <v>1.28</v>
      </c>
      <c r="J38">
        <f t="shared" si="20"/>
        <v>1.2549999999999999</v>
      </c>
      <c r="K38">
        <f t="shared" si="15"/>
        <v>3273.0295584</v>
      </c>
      <c r="L38">
        <v>20</v>
      </c>
      <c r="M38">
        <v>1.3</v>
      </c>
      <c r="N38">
        <f t="shared" si="16"/>
        <v>2.3594059405940593</v>
      </c>
      <c r="O38">
        <v>0</v>
      </c>
      <c r="P38">
        <v>0.93</v>
      </c>
      <c r="Q38">
        <v>2.2999999999999998</v>
      </c>
      <c r="R38">
        <f t="shared" si="17"/>
        <v>3.1389999999999998</v>
      </c>
      <c r="S38">
        <v>0.9</v>
      </c>
      <c r="T38">
        <v>1</v>
      </c>
      <c r="U38">
        <f t="shared" si="18"/>
        <v>21816.567449855054</v>
      </c>
      <c r="V38" s="7"/>
    </row>
    <row r="39" spans="6:22" x14ac:dyDescent="0.3">
      <c r="F39" s="6" t="s">
        <v>40</v>
      </c>
      <c r="G39">
        <f t="shared" si="19"/>
        <v>2793</v>
      </c>
      <c r="H39">
        <v>0.87239999999999995</v>
      </c>
      <c r="I39">
        <v>1.28</v>
      </c>
      <c r="J39">
        <f t="shared" si="20"/>
        <v>1.2549999999999999</v>
      </c>
      <c r="K39">
        <f t="shared" si="15"/>
        <v>3914.175444479999</v>
      </c>
      <c r="L39">
        <v>20</v>
      </c>
      <c r="M39">
        <v>1.3</v>
      </c>
      <c r="N39">
        <f t="shared" si="16"/>
        <v>2.3594059405940593</v>
      </c>
      <c r="O39">
        <v>0</v>
      </c>
      <c r="P39">
        <v>0.93</v>
      </c>
      <c r="Q39">
        <v>2.2999999999999998</v>
      </c>
      <c r="R39">
        <f t="shared" si="17"/>
        <v>3.1389999999999998</v>
      </c>
      <c r="S39">
        <v>0.9</v>
      </c>
      <c r="T39">
        <v>1</v>
      </c>
      <c r="U39">
        <f t="shared" si="18"/>
        <v>26090.162362239269</v>
      </c>
      <c r="V39" s="7"/>
    </row>
    <row r="40" spans="6:22" x14ac:dyDescent="0.3">
      <c r="F40" s="6" t="s">
        <v>41</v>
      </c>
      <c r="G40">
        <v>2604</v>
      </c>
      <c r="H40">
        <v>0.72950000000000004</v>
      </c>
      <c r="I40">
        <v>1.28</v>
      </c>
      <c r="J40">
        <v>1.24</v>
      </c>
      <c r="K40">
        <f t="shared" si="15"/>
        <v>3015.0736896000003</v>
      </c>
      <c r="L40">
        <v>20</v>
      </c>
      <c r="M40">
        <v>0.8</v>
      </c>
      <c r="N40">
        <f t="shared" si="16"/>
        <v>1.8594059405940595</v>
      </c>
      <c r="O40">
        <v>0</v>
      </c>
      <c r="P40">
        <v>0.93</v>
      </c>
      <c r="Q40">
        <v>2.2999999999999998</v>
      </c>
      <c r="R40">
        <f t="shared" si="17"/>
        <v>3.1389999999999998</v>
      </c>
      <c r="S40">
        <v>0.9</v>
      </c>
      <c r="T40">
        <v>1</v>
      </c>
      <c r="U40">
        <f t="shared" si="18"/>
        <v>15838.205376196307</v>
      </c>
      <c r="V40" s="7"/>
    </row>
    <row r="41" spans="6:22" x14ac:dyDescent="0.3">
      <c r="F41" s="6"/>
      <c r="V41" s="7"/>
    </row>
    <row r="42" spans="6:22" x14ac:dyDescent="0.3">
      <c r="F42" s="6"/>
      <c r="G42" t="s">
        <v>1</v>
      </c>
      <c r="H42" t="s">
        <v>5</v>
      </c>
      <c r="I42" t="s">
        <v>7</v>
      </c>
      <c r="J42" t="s">
        <v>7</v>
      </c>
      <c r="K42" t="s">
        <v>8</v>
      </c>
      <c r="L42" t="s">
        <v>22</v>
      </c>
      <c r="M42" t="s">
        <v>0</v>
      </c>
      <c r="N42" t="s">
        <v>11</v>
      </c>
      <c r="O42" t="s">
        <v>12</v>
      </c>
      <c r="P42" t="s">
        <v>13</v>
      </c>
      <c r="Q42" t="s">
        <v>15</v>
      </c>
      <c r="R42" t="s">
        <v>23</v>
      </c>
      <c r="S42" t="s">
        <v>24</v>
      </c>
      <c r="T42" t="s">
        <v>16</v>
      </c>
      <c r="V42" s="7"/>
    </row>
    <row r="43" spans="6:22" x14ac:dyDescent="0.3">
      <c r="F43" s="6"/>
      <c r="G43">
        <f>G31</f>
        <v>2604</v>
      </c>
      <c r="H43">
        <v>1.9454</v>
      </c>
      <c r="I43">
        <v>1</v>
      </c>
      <c r="J43">
        <v>1</v>
      </c>
      <c r="K43">
        <f>G43*H43*I43*J43</f>
        <v>5065.8216000000002</v>
      </c>
      <c r="L43">
        <v>1</v>
      </c>
      <c r="M43">
        <v>0.93</v>
      </c>
      <c r="N43">
        <v>2.2999999999999998</v>
      </c>
      <c r="O43">
        <f>1+M43*N43</f>
        <v>3.1389999999999998</v>
      </c>
      <c r="P43">
        <v>0.9</v>
      </c>
      <c r="Q43">
        <f>K43*L43*O43*P43</f>
        <v>14311.45260216</v>
      </c>
      <c r="R43">
        <v>1</v>
      </c>
      <c r="S43">
        <f>Q43*R43</f>
        <v>14311.45260216</v>
      </c>
      <c r="T43">
        <f>SUM(S43:S44)</f>
        <v>136818.63331352998</v>
      </c>
      <c r="V43" s="7"/>
    </row>
    <row r="44" spans="6:22" ht="14.5" thickBot="1" x14ac:dyDescent="0.35">
      <c r="F44" s="8"/>
      <c r="G44" s="9">
        <f>G35</f>
        <v>2793</v>
      </c>
      <c r="H44" s="9">
        <v>1.7251000000000001</v>
      </c>
      <c r="I44" s="9">
        <v>1</v>
      </c>
      <c r="J44" s="9">
        <v>1</v>
      </c>
      <c r="K44" s="9">
        <f>G44*H44*I44*J44</f>
        <v>4818.2043000000003</v>
      </c>
      <c r="L44" s="9">
        <v>1</v>
      </c>
      <c r="M44" s="9">
        <v>0.93</v>
      </c>
      <c r="N44" s="9">
        <v>2.2999999999999998</v>
      </c>
      <c r="O44" s="9">
        <f>1+M44*N44</f>
        <v>3.1389999999999998</v>
      </c>
      <c r="P44" s="9">
        <v>0.9</v>
      </c>
      <c r="Q44" s="9">
        <f>K44*L44*O44*P44</f>
        <v>13611.90896793</v>
      </c>
      <c r="R44" s="9">
        <v>9</v>
      </c>
      <c r="S44" s="9">
        <f>Q44*R44</f>
        <v>122507.18071136999</v>
      </c>
      <c r="T44" s="9"/>
      <c r="U44" s="9"/>
      <c r="V44" s="10"/>
    </row>
    <row r="46" spans="6:22" ht="14.5" thickBot="1" x14ac:dyDescent="0.35">
      <c r="F46" s="22" t="s">
        <v>53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spans="6:22" x14ac:dyDescent="0.3">
      <c r="F47" s="3"/>
      <c r="G47" s="4" t="s">
        <v>42</v>
      </c>
      <c r="H47" s="4" t="s">
        <v>43</v>
      </c>
      <c r="I47" s="4" t="s">
        <v>6</v>
      </c>
      <c r="J47" s="4" t="s">
        <v>2</v>
      </c>
      <c r="K47" s="4" t="s">
        <v>18</v>
      </c>
      <c r="L47" s="4" t="s">
        <v>9</v>
      </c>
      <c r="M47" s="4" t="s">
        <v>0</v>
      </c>
      <c r="N47" s="4" t="s">
        <v>11</v>
      </c>
      <c r="O47" s="4" t="s">
        <v>12</v>
      </c>
      <c r="P47" s="4" t="s">
        <v>13</v>
      </c>
      <c r="Q47" s="4" t="s">
        <v>14</v>
      </c>
      <c r="R47" s="4" t="s">
        <v>48</v>
      </c>
      <c r="S47" s="4" t="s">
        <v>49</v>
      </c>
      <c r="T47" s="4" t="s">
        <v>51</v>
      </c>
      <c r="U47" s="5" t="s">
        <v>16</v>
      </c>
    </row>
    <row r="48" spans="6:22" x14ac:dyDescent="0.3">
      <c r="F48" s="6" t="s">
        <v>44</v>
      </c>
      <c r="G48">
        <v>1446.85</v>
      </c>
      <c r="H48">
        <v>2</v>
      </c>
      <c r="I48">
        <v>1.28</v>
      </c>
      <c r="J48">
        <v>200</v>
      </c>
      <c r="K48">
        <v>2.38</v>
      </c>
      <c r="L48">
        <f>1+6*J48/(J48+2000)+K48</f>
        <v>3.9254545454545453</v>
      </c>
      <c r="M48">
        <v>0.85</v>
      </c>
      <c r="N48">
        <v>2.2200000000000002</v>
      </c>
      <c r="O48">
        <f>1+M48*N48</f>
        <v>2.887</v>
      </c>
      <c r="P48">
        <v>1.1499999999999999</v>
      </c>
      <c r="Q48">
        <v>1</v>
      </c>
      <c r="R48">
        <v>0.6</v>
      </c>
      <c r="S48">
        <f>G48*H48*I48*L48*O48*P48*Q48*R48</f>
        <v>28963.383944259487</v>
      </c>
      <c r="T48">
        <v>2</v>
      </c>
      <c r="U48" s="7">
        <f>T50*T48</f>
        <v>73393.794043504793</v>
      </c>
    </row>
    <row r="49" spans="6:21" x14ac:dyDescent="0.3">
      <c r="F49" s="6" t="s">
        <v>45</v>
      </c>
      <c r="G49">
        <v>1446.85</v>
      </c>
      <c r="H49">
        <v>2</v>
      </c>
      <c r="I49">
        <v>1.28</v>
      </c>
      <c r="J49">
        <v>0</v>
      </c>
      <c r="K49">
        <v>1.9</v>
      </c>
      <c r="L49">
        <f t="shared" ref="L49:L51" si="21">1+6*J49/(J49+2000)+K49</f>
        <v>2.9</v>
      </c>
      <c r="M49">
        <v>0.5</v>
      </c>
      <c r="N49">
        <v>1.5</v>
      </c>
      <c r="O49">
        <f t="shared" ref="O49:O51" si="22">1+M49*N49</f>
        <v>1.75</v>
      </c>
      <c r="P49">
        <v>0.9</v>
      </c>
      <c r="Q49">
        <v>1</v>
      </c>
      <c r="R49">
        <v>0.3</v>
      </c>
      <c r="S49">
        <f t="shared" ref="S49:S51" si="23">G49*H49*I49*L49*O49*P49*Q49*R49</f>
        <v>5075.3183039999994</v>
      </c>
      <c r="T49" t="s">
        <v>15</v>
      </c>
      <c r="U49" s="7"/>
    </row>
    <row r="50" spans="6:21" x14ac:dyDescent="0.3">
      <c r="F50" s="6" t="s">
        <v>46</v>
      </c>
      <c r="G50">
        <v>1446.85</v>
      </c>
      <c r="H50">
        <v>2</v>
      </c>
      <c r="I50">
        <v>1.28</v>
      </c>
      <c r="J50">
        <v>20</v>
      </c>
      <c r="K50">
        <v>1.3</v>
      </c>
      <c r="L50">
        <f t="shared" si="21"/>
        <v>2.3594059405940593</v>
      </c>
      <c r="M50">
        <v>0.93</v>
      </c>
      <c r="N50">
        <v>2.2999999999999998</v>
      </c>
      <c r="O50">
        <f t="shared" si="22"/>
        <v>3.1389999999999998</v>
      </c>
      <c r="P50">
        <v>1.1499999999999999</v>
      </c>
      <c r="Q50">
        <v>1</v>
      </c>
      <c r="R50">
        <v>0.05</v>
      </c>
      <c r="S50">
        <f t="shared" si="23"/>
        <v>1577.3399494929104</v>
      </c>
      <c r="T50">
        <f>SUM(S48:S51)</f>
        <v>36696.897021752397</v>
      </c>
      <c r="U50" s="7"/>
    </row>
    <row r="51" spans="6:21" x14ac:dyDescent="0.3">
      <c r="F51" s="6" t="s">
        <v>47</v>
      </c>
      <c r="G51">
        <v>1446.85</v>
      </c>
      <c r="H51">
        <v>2</v>
      </c>
      <c r="I51">
        <v>1.28</v>
      </c>
      <c r="J51">
        <v>0</v>
      </c>
      <c r="K51">
        <v>1.9</v>
      </c>
      <c r="L51">
        <f t="shared" si="21"/>
        <v>2.9</v>
      </c>
      <c r="M51">
        <v>0.5</v>
      </c>
      <c r="N51">
        <v>1.5</v>
      </c>
      <c r="O51">
        <f t="shared" si="22"/>
        <v>1.75</v>
      </c>
      <c r="P51">
        <v>1.1499999999999999</v>
      </c>
      <c r="Q51">
        <v>1</v>
      </c>
      <c r="R51">
        <v>0.05</v>
      </c>
      <c r="S51">
        <f t="shared" si="23"/>
        <v>1080.854824</v>
      </c>
      <c r="U51" s="7"/>
    </row>
    <row r="52" spans="6:21" x14ac:dyDescent="0.3">
      <c r="F52" s="6"/>
      <c r="U52" s="7"/>
    </row>
    <row r="53" spans="6:21" x14ac:dyDescent="0.3">
      <c r="F53" s="6"/>
      <c r="G53" t="s">
        <v>42</v>
      </c>
      <c r="H53" t="s">
        <v>43</v>
      </c>
      <c r="I53" t="s">
        <v>6</v>
      </c>
      <c r="J53" t="s">
        <v>2</v>
      </c>
      <c r="K53" t="s">
        <v>18</v>
      </c>
      <c r="L53" t="s">
        <v>9</v>
      </c>
      <c r="M53" t="s">
        <v>0</v>
      </c>
      <c r="N53" t="s">
        <v>11</v>
      </c>
      <c r="O53" t="s">
        <v>12</v>
      </c>
      <c r="P53" t="s">
        <v>13</v>
      </c>
      <c r="Q53" t="s">
        <v>14</v>
      </c>
      <c r="R53" t="s">
        <v>48</v>
      </c>
      <c r="S53" t="s">
        <v>49</v>
      </c>
      <c r="T53" t="s">
        <v>51</v>
      </c>
      <c r="U53" s="7" t="s">
        <v>16</v>
      </c>
    </row>
    <row r="54" spans="6:21" x14ac:dyDescent="0.3">
      <c r="F54" s="6" t="s">
        <v>44</v>
      </c>
      <c r="G54">
        <v>1446.85</v>
      </c>
      <c r="H54">
        <v>2</v>
      </c>
      <c r="I54">
        <v>1.28</v>
      </c>
      <c r="J54">
        <v>200</v>
      </c>
      <c r="K54">
        <v>2.38</v>
      </c>
      <c r="L54">
        <f>1+6*J54/(J54+2000)+K54</f>
        <v>3.9254545454545453</v>
      </c>
      <c r="M54">
        <v>0.85</v>
      </c>
      <c r="N54">
        <v>2.2200000000000002</v>
      </c>
      <c r="O54">
        <f>1+M54*N54</f>
        <v>2.887</v>
      </c>
      <c r="P54">
        <v>0.9</v>
      </c>
      <c r="Q54">
        <v>1</v>
      </c>
      <c r="R54">
        <v>0.6</v>
      </c>
      <c r="S54">
        <f>G54*H54*I54*L54*O54*P54*Q54*R54</f>
        <v>22666.996130290037</v>
      </c>
      <c r="T54">
        <v>2</v>
      </c>
      <c r="U54" s="7">
        <f>T56*T54</f>
        <v>59645.281557525501</v>
      </c>
    </row>
    <row r="55" spans="6:21" x14ac:dyDescent="0.3">
      <c r="F55" s="6" t="s">
        <v>45</v>
      </c>
      <c r="G55">
        <v>1446.85</v>
      </c>
      <c r="H55">
        <v>2</v>
      </c>
      <c r="I55">
        <v>1.28</v>
      </c>
      <c r="J55">
        <v>0</v>
      </c>
      <c r="K55">
        <v>1.9</v>
      </c>
      <c r="L55">
        <f t="shared" ref="L55:L57" si="24">1+6*J55/(J55+2000)+K55</f>
        <v>2.9</v>
      </c>
      <c r="M55">
        <v>0.5</v>
      </c>
      <c r="N55">
        <v>1.5</v>
      </c>
      <c r="O55">
        <f t="shared" ref="O55:O57" si="25">1+M55*N55</f>
        <v>1.75</v>
      </c>
      <c r="P55">
        <v>0.9</v>
      </c>
      <c r="Q55">
        <v>1</v>
      </c>
      <c r="R55">
        <v>0.3</v>
      </c>
      <c r="S55">
        <f t="shared" ref="S55:S57" si="26">G55*H55*I55*L55*O55*P55*Q55*R55</f>
        <v>5075.3183039999994</v>
      </c>
      <c r="T55" t="s">
        <v>15</v>
      </c>
      <c r="U55" s="7"/>
    </row>
    <row r="56" spans="6:21" x14ac:dyDescent="0.3">
      <c r="F56" s="6" t="s">
        <v>46</v>
      </c>
      <c r="G56">
        <v>1446.85</v>
      </c>
      <c r="H56">
        <v>2</v>
      </c>
      <c r="I56">
        <v>1.28</v>
      </c>
      <c r="J56">
        <v>20</v>
      </c>
      <c r="K56">
        <v>1.3</v>
      </c>
      <c r="L56">
        <f t="shared" si="24"/>
        <v>2.3594059405940593</v>
      </c>
      <c r="M56">
        <v>0.93</v>
      </c>
      <c r="N56">
        <v>2.2999999999999998</v>
      </c>
      <c r="O56">
        <f t="shared" si="25"/>
        <v>3.1389999999999998</v>
      </c>
      <c r="P56">
        <v>0.9</v>
      </c>
      <c r="Q56">
        <v>1</v>
      </c>
      <c r="R56">
        <v>0.05</v>
      </c>
      <c r="S56">
        <f t="shared" si="26"/>
        <v>1234.4399604727125</v>
      </c>
      <c r="T56">
        <f>SUM(S54:S57)</f>
        <v>29822.64077876275</v>
      </c>
      <c r="U56" s="7"/>
    </row>
    <row r="57" spans="6:21" ht="14.5" thickBot="1" x14ac:dyDescent="0.35">
      <c r="F57" s="8" t="s">
        <v>47</v>
      </c>
      <c r="G57" s="9">
        <v>1446.85</v>
      </c>
      <c r="H57" s="9">
        <v>2</v>
      </c>
      <c r="I57" s="9">
        <v>1.28</v>
      </c>
      <c r="J57" s="9">
        <v>0</v>
      </c>
      <c r="K57">
        <v>1.9</v>
      </c>
      <c r="L57" s="9">
        <f t="shared" si="24"/>
        <v>2.9</v>
      </c>
      <c r="M57">
        <v>0.5</v>
      </c>
      <c r="N57" s="9">
        <v>1.5</v>
      </c>
      <c r="O57" s="9">
        <f t="shared" si="25"/>
        <v>1.75</v>
      </c>
      <c r="P57" s="9">
        <v>0.9</v>
      </c>
      <c r="Q57" s="9">
        <v>1</v>
      </c>
      <c r="R57" s="9">
        <v>0.05</v>
      </c>
      <c r="S57" s="9">
        <f t="shared" si="26"/>
        <v>845.88638400000002</v>
      </c>
      <c r="T57" s="9"/>
      <c r="U57" s="10"/>
    </row>
    <row r="58" spans="6:21" ht="14.5" thickBot="1" x14ac:dyDescent="0.35">
      <c r="F58" s="23" t="s">
        <v>54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6:21" x14ac:dyDescent="0.3">
      <c r="F59" s="3"/>
      <c r="G59" s="4" t="s">
        <v>42</v>
      </c>
      <c r="H59" s="4" t="s">
        <v>52</v>
      </c>
      <c r="I59" s="4" t="s">
        <v>6</v>
      </c>
      <c r="J59" s="4" t="s">
        <v>2</v>
      </c>
      <c r="K59" s="4" t="s">
        <v>18</v>
      </c>
      <c r="L59" s="4" t="s">
        <v>9</v>
      </c>
      <c r="M59" s="4" t="s">
        <v>0</v>
      </c>
      <c r="N59" s="4" t="s">
        <v>11</v>
      </c>
      <c r="O59" s="4" t="s">
        <v>12</v>
      </c>
      <c r="P59" s="4" t="s">
        <v>13</v>
      </c>
      <c r="Q59" s="4" t="s">
        <v>14</v>
      </c>
      <c r="R59" s="4" t="s">
        <v>48</v>
      </c>
      <c r="S59" s="4" t="s">
        <v>49</v>
      </c>
      <c r="T59" s="4" t="s">
        <v>51</v>
      </c>
      <c r="U59" s="5" t="s">
        <v>16</v>
      </c>
    </row>
    <row r="60" spans="6:21" x14ac:dyDescent="0.3">
      <c r="F60" s="6" t="s">
        <v>44</v>
      </c>
      <c r="G60">
        <v>1446.85</v>
      </c>
      <c r="H60">
        <v>0.75</v>
      </c>
      <c r="I60">
        <v>1.28</v>
      </c>
      <c r="J60">
        <v>0</v>
      </c>
      <c r="K60">
        <v>1.9</v>
      </c>
      <c r="L60">
        <f t="shared" ref="L60" si="27">1+6*J60/(J60+2000)+K60</f>
        <v>2.9</v>
      </c>
      <c r="M60">
        <v>0.5</v>
      </c>
      <c r="N60">
        <v>1.5</v>
      </c>
      <c r="O60">
        <f t="shared" ref="O60" si="28">1+M60*N60</f>
        <v>1.75</v>
      </c>
      <c r="P60">
        <v>0.9</v>
      </c>
      <c r="Q60">
        <v>1</v>
      </c>
      <c r="R60">
        <v>0.6</v>
      </c>
      <c r="S60">
        <f>G60*H60*I60*L60*O60*P60*Q60*R60</f>
        <v>3806.4887279999994</v>
      </c>
      <c r="T60">
        <v>4</v>
      </c>
      <c r="U60" s="7">
        <f>T62*T60</f>
        <v>40935.785030433974</v>
      </c>
    </row>
    <row r="61" spans="6:21" x14ac:dyDescent="0.3">
      <c r="F61" s="6" t="s">
        <v>45</v>
      </c>
      <c r="G61">
        <v>1446.85</v>
      </c>
      <c r="H61">
        <v>0.75</v>
      </c>
      <c r="I61">
        <v>1.28</v>
      </c>
      <c r="J61">
        <v>200</v>
      </c>
      <c r="K61">
        <v>2.38</v>
      </c>
      <c r="L61">
        <f>1+6*J61/(J61+2000)+K61</f>
        <v>3.9254545454545453</v>
      </c>
      <c r="M61">
        <v>0.85</v>
      </c>
      <c r="N61">
        <v>2.2200000000000002</v>
      </c>
      <c r="O61">
        <f>1+M61*N61</f>
        <v>2.887</v>
      </c>
      <c r="P61">
        <v>1.1499999999999999</v>
      </c>
      <c r="Q61">
        <v>1</v>
      </c>
      <c r="R61">
        <v>0.3</v>
      </c>
      <c r="S61">
        <f t="shared" ref="S61:S63" si="29">G61*H61*I61*L61*O61*P61*Q61*R61</f>
        <v>5430.6344895486536</v>
      </c>
      <c r="T61" t="s">
        <v>15</v>
      </c>
      <c r="U61" s="7"/>
    </row>
    <row r="62" spans="6:21" x14ac:dyDescent="0.3">
      <c r="F62" s="6" t="s">
        <v>46</v>
      </c>
      <c r="G62">
        <v>1446.85</v>
      </c>
      <c r="H62">
        <v>0.75</v>
      </c>
      <c r="I62">
        <v>1.28</v>
      </c>
      <c r="J62">
        <v>20</v>
      </c>
      <c r="K62">
        <v>1.3</v>
      </c>
      <c r="L62">
        <f t="shared" ref="L62:L63" si="30">1+6*J62/(J62+2000)+K62</f>
        <v>2.3594059405940593</v>
      </c>
      <c r="M62">
        <v>0.93</v>
      </c>
      <c r="N62">
        <v>2.2999999999999998</v>
      </c>
      <c r="O62">
        <f t="shared" ref="O62:O63" si="31">1+M62*N62</f>
        <v>3.1389999999999998</v>
      </c>
      <c r="P62">
        <v>1.1499999999999999</v>
      </c>
      <c r="Q62">
        <v>1</v>
      </c>
      <c r="R62">
        <v>0.05</v>
      </c>
      <c r="S62">
        <f t="shared" si="29"/>
        <v>591.50248105984144</v>
      </c>
      <c r="T62">
        <f>SUM(S60:S63)</f>
        <v>10233.946257608493</v>
      </c>
      <c r="U62" s="7"/>
    </row>
    <row r="63" spans="6:21" x14ac:dyDescent="0.3">
      <c r="F63" s="6" t="s">
        <v>47</v>
      </c>
      <c r="G63">
        <v>1446.85</v>
      </c>
      <c r="H63">
        <v>0.75</v>
      </c>
      <c r="I63">
        <v>1.28</v>
      </c>
      <c r="J63">
        <v>0</v>
      </c>
      <c r="K63">
        <v>1.9</v>
      </c>
      <c r="L63">
        <f t="shared" si="30"/>
        <v>2.9</v>
      </c>
      <c r="M63">
        <v>0.5</v>
      </c>
      <c r="N63">
        <v>1.5</v>
      </c>
      <c r="O63">
        <f t="shared" si="31"/>
        <v>1.75</v>
      </c>
      <c r="P63">
        <v>1.1499999999999999</v>
      </c>
      <c r="Q63">
        <v>1</v>
      </c>
      <c r="R63">
        <v>0.05</v>
      </c>
      <c r="S63">
        <f t="shared" si="29"/>
        <v>405.32055899999995</v>
      </c>
      <c r="U63" s="7"/>
    </row>
    <row r="64" spans="6:21" x14ac:dyDescent="0.3">
      <c r="F64" s="6"/>
      <c r="U64" s="7"/>
    </row>
    <row r="65" spans="6:21" x14ac:dyDescent="0.3">
      <c r="F65" s="6"/>
      <c r="G65" t="s">
        <v>42</v>
      </c>
      <c r="H65" t="s">
        <v>52</v>
      </c>
      <c r="I65" t="s">
        <v>6</v>
      </c>
      <c r="J65" t="s">
        <v>2</v>
      </c>
      <c r="K65" t="s">
        <v>18</v>
      </c>
      <c r="L65" t="s">
        <v>9</v>
      </c>
      <c r="M65" t="s">
        <v>0</v>
      </c>
      <c r="N65" t="s">
        <v>11</v>
      </c>
      <c r="O65" t="s">
        <v>12</v>
      </c>
      <c r="P65" t="s">
        <v>13</v>
      </c>
      <c r="Q65" t="s">
        <v>14</v>
      </c>
      <c r="R65" t="s">
        <v>48</v>
      </c>
      <c r="S65" t="s">
        <v>49</v>
      </c>
      <c r="T65" t="s">
        <v>51</v>
      </c>
      <c r="U65" s="7" t="s">
        <v>16</v>
      </c>
    </row>
    <row r="66" spans="6:21" x14ac:dyDescent="0.3">
      <c r="F66" s="6" t="s">
        <v>44</v>
      </c>
      <c r="G66">
        <v>1446.85</v>
      </c>
      <c r="H66">
        <v>0.75</v>
      </c>
      <c r="I66">
        <v>1.28</v>
      </c>
      <c r="J66">
        <v>0</v>
      </c>
      <c r="K66">
        <v>1.9</v>
      </c>
      <c r="L66">
        <f t="shared" ref="L66" si="32">1+6*J66/(J66+2000)+K66</f>
        <v>2.9</v>
      </c>
      <c r="M66">
        <v>0.5</v>
      </c>
      <c r="N66">
        <v>1.5</v>
      </c>
      <c r="O66">
        <f t="shared" ref="O66" si="33">1+M66*N66</f>
        <v>1.75</v>
      </c>
      <c r="P66">
        <v>0.9</v>
      </c>
      <c r="Q66">
        <v>1</v>
      </c>
      <c r="R66">
        <v>0.6</v>
      </c>
      <c r="S66">
        <f>G66*H66*I66*L66*O66*P66*Q66*R66</f>
        <v>3806.4887279999994</v>
      </c>
      <c r="T66">
        <v>2</v>
      </c>
      <c r="U66" s="7">
        <f>T68*T66</f>
        <v>18106.747084978444</v>
      </c>
    </row>
    <row r="67" spans="6:21" x14ac:dyDescent="0.3">
      <c r="F67" s="6" t="s">
        <v>45</v>
      </c>
      <c r="G67">
        <v>1446.85</v>
      </c>
      <c r="H67">
        <v>0.75</v>
      </c>
      <c r="I67">
        <v>1.28</v>
      </c>
      <c r="J67">
        <v>200</v>
      </c>
      <c r="K67">
        <v>2.38</v>
      </c>
      <c r="L67">
        <f>1+6*J67/(J67+2000)+K67</f>
        <v>3.9254545454545453</v>
      </c>
      <c r="M67">
        <v>0.85</v>
      </c>
      <c r="N67">
        <v>2.2200000000000002</v>
      </c>
      <c r="O67">
        <f>1+M67*N67</f>
        <v>2.887</v>
      </c>
      <c r="P67">
        <v>0.9</v>
      </c>
      <c r="Q67">
        <v>1</v>
      </c>
      <c r="R67">
        <v>0.3</v>
      </c>
      <c r="S67">
        <f t="shared" ref="S67:S69" si="34">G67*H67*I67*L67*O67*P67*Q67*R67</f>
        <v>4250.0617744293813</v>
      </c>
      <c r="T67" t="s">
        <v>15</v>
      </c>
      <c r="U67" s="7"/>
    </row>
    <row r="68" spans="6:21" x14ac:dyDescent="0.3">
      <c r="F68" s="6" t="s">
        <v>46</v>
      </c>
      <c r="G68">
        <v>1446.85</v>
      </c>
      <c r="H68">
        <v>0.75</v>
      </c>
      <c r="I68">
        <v>1.28</v>
      </c>
      <c r="J68">
        <v>20</v>
      </c>
      <c r="K68">
        <v>1.3</v>
      </c>
      <c r="L68">
        <f t="shared" ref="L68:L69" si="35">1+6*J68/(J68+2000)+K68</f>
        <v>2.3594059405940593</v>
      </c>
      <c r="M68">
        <v>0.93</v>
      </c>
      <c r="N68">
        <v>2.2999999999999998</v>
      </c>
      <c r="O68">
        <f t="shared" ref="O68:O69" si="36">1+M68*N68</f>
        <v>3.1389999999999998</v>
      </c>
      <c r="P68">
        <v>1.1499999999999999</v>
      </c>
      <c r="Q68">
        <v>1</v>
      </c>
      <c r="R68">
        <v>0.05</v>
      </c>
      <c r="S68">
        <f t="shared" si="34"/>
        <v>591.50248105984144</v>
      </c>
      <c r="T68">
        <f>SUM(S66:S69)</f>
        <v>9053.373542489222</v>
      </c>
      <c r="U68" s="7"/>
    </row>
    <row r="69" spans="6:21" ht="14.5" thickBot="1" x14ac:dyDescent="0.35">
      <c r="F69" s="8" t="s">
        <v>47</v>
      </c>
      <c r="G69" s="9">
        <v>1446.85</v>
      </c>
      <c r="H69" s="9">
        <v>0.75</v>
      </c>
      <c r="I69" s="9">
        <v>1.28</v>
      </c>
      <c r="J69" s="9">
        <v>0</v>
      </c>
      <c r="K69">
        <v>1.9</v>
      </c>
      <c r="L69" s="9">
        <f t="shared" si="35"/>
        <v>2.9</v>
      </c>
      <c r="M69" s="9">
        <v>0.5</v>
      </c>
      <c r="N69" s="9">
        <v>1.5</v>
      </c>
      <c r="O69" s="9">
        <f t="shared" si="36"/>
        <v>1.75</v>
      </c>
      <c r="P69" s="9">
        <v>1.1499999999999999</v>
      </c>
      <c r="Q69" s="9">
        <v>1</v>
      </c>
      <c r="R69" s="9">
        <v>0.05</v>
      </c>
      <c r="S69" s="9">
        <f t="shared" si="34"/>
        <v>405.32055899999995</v>
      </c>
      <c r="T69" s="9"/>
      <c r="U69" s="10"/>
    </row>
  </sheetData>
  <mergeCells count="5">
    <mergeCell ref="A1:D1"/>
    <mergeCell ref="A2:A9"/>
    <mergeCell ref="F29:V29"/>
    <mergeCell ref="F46:U46"/>
    <mergeCell ref="F58:U5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FAE0-661E-4B29-9990-D8B33898E6A0}">
  <dimension ref="A1:V251"/>
  <sheetViews>
    <sheetView topLeftCell="A163" zoomScale="70" zoomScaleNormal="70" workbookViewId="0">
      <selection activeCell="K200" sqref="K200"/>
    </sheetView>
  </sheetViews>
  <sheetFormatPr defaultRowHeight="14" x14ac:dyDescent="0.3"/>
  <cols>
    <col min="2" max="2" width="10.1640625" customWidth="1"/>
    <col min="6" max="6" width="3.75" customWidth="1"/>
  </cols>
  <sheetData>
    <row r="1" spans="1:22" x14ac:dyDescent="0.3">
      <c r="A1" s="15" t="s">
        <v>62</v>
      </c>
      <c r="B1" s="16"/>
      <c r="C1" s="16"/>
      <c r="D1" s="17"/>
      <c r="E1" s="4"/>
      <c r="F1" s="4" t="s">
        <v>4</v>
      </c>
      <c r="G1" s="4" t="s">
        <v>1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2</v>
      </c>
      <c r="M1" s="4" t="s">
        <v>18</v>
      </c>
      <c r="N1" s="4" t="s">
        <v>9</v>
      </c>
      <c r="O1" s="4" t="s">
        <v>10</v>
      </c>
      <c r="P1" s="4" t="s">
        <v>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5" t="s">
        <v>16</v>
      </c>
    </row>
    <row r="2" spans="1:22" x14ac:dyDescent="0.3">
      <c r="A2" s="18" t="s">
        <v>27</v>
      </c>
      <c r="B2" s="1" t="s">
        <v>25</v>
      </c>
      <c r="C2" s="1" t="s">
        <v>26</v>
      </c>
      <c r="D2" s="1" t="s">
        <v>28</v>
      </c>
      <c r="F2" t="s">
        <v>17</v>
      </c>
      <c r="G2">
        <f>3199+488+203</f>
        <v>3890</v>
      </c>
      <c r="H2">
        <v>2.9355000000000002</v>
      </c>
      <c r="I2">
        <v>1.28</v>
      </c>
      <c r="J2">
        <v>1</v>
      </c>
      <c r="K2">
        <f>G2*H2*I2*J2</f>
        <v>14616.441600000002</v>
      </c>
      <c r="L2">
        <v>200</v>
      </c>
      <c r="M2">
        <v>2.23</v>
      </c>
      <c r="N2">
        <f>1+6*L2/(L2+2000)+M2</f>
        <v>3.7754545454545454</v>
      </c>
      <c r="O2">
        <v>0</v>
      </c>
      <c r="P2">
        <v>0.85</v>
      </c>
      <c r="Q2">
        <v>2.62</v>
      </c>
      <c r="R2">
        <f>1+P2*Q2</f>
        <v>3.2269999999999999</v>
      </c>
      <c r="S2">
        <v>1.1499999999999999</v>
      </c>
      <c r="T2">
        <v>1.2</v>
      </c>
      <c r="U2">
        <f>(K2*N2+O2)*R2*S2*T2</f>
        <v>245747.41230051385</v>
      </c>
      <c r="V2" s="7">
        <f>SUM(U2:U28)</f>
        <v>5487670.2500626817</v>
      </c>
    </row>
    <row r="3" spans="1:22" x14ac:dyDescent="0.3">
      <c r="A3" s="18"/>
      <c r="B3" s="1">
        <f>B5+B7+B9</f>
        <v>6781085.8052005479</v>
      </c>
      <c r="C3" s="1">
        <f>B3/D3</f>
        <v>315399.33977676969</v>
      </c>
      <c r="D3" s="1">
        <v>21.5</v>
      </c>
      <c r="F3" t="s">
        <v>58</v>
      </c>
      <c r="G3">
        <f>3199+488+203</f>
        <v>3890</v>
      </c>
      <c r="H3">
        <v>1.875</v>
      </c>
      <c r="I3">
        <v>1.28</v>
      </c>
      <c r="J3">
        <v>1</v>
      </c>
      <c r="K3">
        <f t="shared" ref="K3:K28" si="0">G3*H3*I3*J3</f>
        <v>9336</v>
      </c>
      <c r="L3">
        <v>200</v>
      </c>
      <c r="M3">
        <v>2.23</v>
      </c>
      <c r="N3">
        <f t="shared" ref="N3:N28" si="1">1+6*L3/(L3+2000)+M3</f>
        <v>3.7754545454545454</v>
      </c>
      <c r="O3">
        <v>0</v>
      </c>
      <c r="P3">
        <v>0.85</v>
      </c>
      <c r="Q3">
        <v>2.2200000000000002</v>
      </c>
      <c r="R3">
        <f t="shared" ref="R3:R28" si="2">1+P3*Q3</f>
        <v>2.887</v>
      </c>
      <c r="S3">
        <v>1.1499999999999999</v>
      </c>
      <c r="T3">
        <v>1.2</v>
      </c>
      <c r="U3">
        <f t="shared" ref="U3:U28" si="3">(K3*N3+O3)*R3*S3*T3</f>
        <v>140428.72710589092</v>
      </c>
      <c r="V3" s="7"/>
    </row>
    <row r="4" spans="1:22" x14ac:dyDescent="0.3">
      <c r="A4" s="18"/>
      <c r="B4" s="1" t="s">
        <v>29</v>
      </c>
      <c r="C4" s="1" t="s">
        <v>30</v>
      </c>
      <c r="D4" s="1"/>
      <c r="F4" t="s">
        <v>17</v>
      </c>
      <c r="G4">
        <f t="shared" ref="G4:G16" si="4">3199+488+203</f>
        <v>3890</v>
      </c>
      <c r="H4">
        <v>2.9355000000000002</v>
      </c>
      <c r="I4">
        <v>1.28</v>
      </c>
      <c r="J4">
        <v>1</v>
      </c>
      <c r="K4">
        <f t="shared" si="0"/>
        <v>14616.441600000002</v>
      </c>
      <c r="L4">
        <v>200</v>
      </c>
      <c r="M4">
        <v>2.38</v>
      </c>
      <c r="N4">
        <f t="shared" si="1"/>
        <v>3.9254545454545453</v>
      </c>
      <c r="O4">
        <v>0</v>
      </c>
      <c r="P4">
        <v>0.85</v>
      </c>
      <c r="Q4">
        <v>2.82</v>
      </c>
      <c r="R4">
        <f t="shared" si="2"/>
        <v>3.3969999999999998</v>
      </c>
      <c r="S4">
        <v>1.1499999999999999</v>
      </c>
      <c r="T4">
        <v>1.2</v>
      </c>
      <c r="U4">
        <f t="shared" si="3"/>
        <v>268971.48566012573</v>
      </c>
      <c r="V4" s="7"/>
    </row>
    <row r="5" spans="1:22" x14ac:dyDescent="0.3">
      <c r="A5" s="18"/>
      <c r="B5" s="1">
        <f>V2+T31</f>
        <v>5976007.9387816219</v>
      </c>
      <c r="C5" s="2">
        <f>B5/B3</f>
        <v>0.88127596530315311</v>
      </c>
      <c r="D5" s="1"/>
      <c r="F5" t="s">
        <v>17</v>
      </c>
      <c r="G5">
        <f t="shared" si="4"/>
        <v>3890</v>
      </c>
      <c r="H5">
        <v>2.9355000000000002</v>
      </c>
      <c r="I5">
        <v>1.28</v>
      </c>
      <c r="J5">
        <v>1</v>
      </c>
      <c r="K5">
        <f t="shared" si="0"/>
        <v>14616.441600000002</v>
      </c>
      <c r="L5">
        <v>200</v>
      </c>
      <c r="M5">
        <v>2.38</v>
      </c>
      <c r="N5">
        <f t="shared" si="1"/>
        <v>3.9254545454545453</v>
      </c>
      <c r="O5">
        <v>0</v>
      </c>
      <c r="P5">
        <v>0.85</v>
      </c>
      <c r="Q5">
        <v>3.02</v>
      </c>
      <c r="R5">
        <f t="shared" si="2"/>
        <v>3.5669999999999997</v>
      </c>
      <c r="S5">
        <v>1.1499999999999999</v>
      </c>
      <c r="T5">
        <v>1.2</v>
      </c>
      <c r="U5">
        <f t="shared" si="3"/>
        <v>282431.93681179528</v>
      </c>
      <c r="V5" s="7"/>
    </row>
    <row r="6" spans="1:22" x14ac:dyDescent="0.3">
      <c r="A6" s="18"/>
      <c r="B6" s="1" t="s">
        <v>31</v>
      </c>
      <c r="C6" s="2" t="s">
        <v>30</v>
      </c>
      <c r="D6" s="1"/>
      <c r="F6" t="s">
        <v>61</v>
      </c>
      <c r="G6">
        <f t="shared" si="4"/>
        <v>3890</v>
      </c>
      <c r="H6">
        <v>1.2</v>
      </c>
      <c r="I6">
        <v>1.28</v>
      </c>
      <c r="J6">
        <v>1</v>
      </c>
      <c r="K6">
        <f t="shared" si="0"/>
        <v>5975.04</v>
      </c>
      <c r="L6">
        <v>200</v>
      </c>
      <c r="M6">
        <v>2.38</v>
      </c>
      <c r="N6">
        <f t="shared" si="1"/>
        <v>3.9254545454545453</v>
      </c>
      <c r="O6">
        <v>0</v>
      </c>
      <c r="P6">
        <v>0.85</v>
      </c>
      <c r="Q6">
        <v>3.02</v>
      </c>
      <c r="R6">
        <f t="shared" si="2"/>
        <v>3.5669999999999997</v>
      </c>
      <c r="S6">
        <v>1.1499999999999999</v>
      </c>
      <c r="T6">
        <v>1.2</v>
      </c>
      <c r="U6">
        <f t="shared" si="3"/>
        <v>115455.05848208288</v>
      </c>
      <c r="V6" s="7"/>
    </row>
    <row r="7" spans="1:22" x14ac:dyDescent="0.3">
      <c r="A7" s="18"/>
      <c r="B7" s="1">
        <f>V39+T51</f>
        <v>586299.57437125291</v>
      </c>
      <c r="C7" s="2">
        <f>B7/B3</f>
        <v>8.6461016895201095E-2</v>
      </c>
      <c r="D7" s="1"/>
      <c r="F7" t="s">
        <v>17</v>
      </c>
      <c r="G7">
        <f t="shared" si="4"/>
        <v>3890</v>
      </c>
      <c r="H7">
        <v>2.9355000000000002</v>
      </c>
      <c r="I7">
        <v>1.28</v>
      </c>
      <c r="J7">
        <v>1</v>
      </c>
      <c r="K7">
        <f t="shared" si="0"/>
        <v>14616.441600000002</v>
      </c>
      <c r="L7">
        <v>200</v>
      </c>
      <c r="M7">
        <v>2.38</v>
      </c>
      <c r="N7">
        <f t="shared" si="1"/>
        <v>3.9254545454545453</v>
      </c>
      <c r="O7">
        <v>0</v>
      </c>
      <c r="P7">
        <v>0.85</v>
      </c>
      <c r="Q7">
        <v>3.22</v>
      </c>
      <c r="R7">
        <f t="shared" si="2"/>
        <v>3.7370000000000001</v>
      </c>
      <c r="S7">
        <v>1.1499999999999999</v>
      </c>
      <c r="T7">
        <v>1.2</v>
      </c>
      <c r="U7">
        <f t="shared" si="3"/>
        <v>295892.38796346483</v>
      </c>
      <c r="V7" s="7"/>
    </row>
    <row r="8" spans="1:22" x14ac:dyDescent="0.3">
      <c r="A8" s="18"/>
      <c r="B8" s="1" t="s">
        <v>50</v>
      </c>
      <c r="C8" s="2" t="s">
        <v>30</v>
      </c>
      <c r="D8" s="1"/>
      <c r="F8" t="s">
        <v>58</v>
      </c>
      <c r="G8">
        <f t="shared" si="4"/>
        <v>3890</v>
      </c>
      <c r="H8">
        <v>1.875</v>
      </c>
      <c r="I8">
        <v>1.28</v>
      </c>
      <c r="J8">
        <v>1</v>
      </c>
      <c r="K8">
        <f t="shared" si="0"/>
        <v>9336</v>
      </c>
      <c r="L8">
        <v>200</v>
      </c>
      <c r="M8">
        <v>2.38</v>
      </c>
      <c r="N8">
        <f t="shared" si="1"/>
        <v>3.9254545454545453</v>
      </c>
      <c r="O8">
        <v>0</v>
      </c>
      <c r="P8">
        <v>0.85</v>
      </c>
      <c r="Q8">
        <v>2.2200000000000002</v>
      </c>
      <c r="R8">
        <f t="shared" si="2"/>
        <v>2.887</v>
      </c>
      <c r="S8">
        <v>1.1499999999999999</v>
      </c>
      <c r="T8">
        <v>1.2</v>
      </c>
      <c r="U8">
        <f t="shared" si="3"/>
        <v>146008.00472989088</v>
      </c>
      <c r="V8" s="7"/>
    </row>
    <row r="9" spans="1:22" x14ac:dyDescent="0.3">
      <c r="A9" s="18"/>
      <c r="B9" s="1">
        <f>U56+U62+U68+U74</f>
        <v>218778.2920476732</v>
      </c>
      <c r="C9" s="2">
        <f>B9/B3</f>
        <v>3.2263017801645838E-2</v>
      </c>
      <c r="D9" s="1"/>
      <c r="F9" t="s">
        <v>61</v>
      </c>
      <c r="G9">
        <f t="shared" si="4"/>
        <v>3890</v>
      </c>
      <c r="H9">
        <v>1.2</v>
      </c>
      <c r="I9">
        <v>1.28</v>
      </c>
      <c r="J9">
        <v>1</v>
      </c>
      <c r="K9">
        <f t="shared" si="0"/>
        <v>5975.04</v>
      </c>
      <c r="L9">
        <v>200</v>
      </c>
      <c r="M9">
        <v>2.38</v>
      </c>
      <c r="N9">
        <f t="shared" si="1"/>
        <v>3.9254545454545453</v>
      </c>
      <c r="O9">
        <v>0</v>
      </c>
      <c r="P9">
        <v>0.85</v>
      </c>
      <c r="Q9">
        <v>3.22</v>
      </c>
      <c r="R9">
        <f t="shared" si="2"/>
        <v>3.7370000000000001</v>
      </c>
      <c r="S9">
        <v>1.1499999999999999</v>
      </c>
      <c r="T9">
        <v>1.2</v>
      </c>
      <c r="U9">
        <f t="shared" si="3"/>
        <v>120957.54234582107</v>
      </c>
      <c r="V9" s="7"/>
    </row>
    <row r="10" spans="1:22" x14ac:dyDescent="0.3">
      <c r="A10" s="6"/>
      <c r="F10" t="s">
        <v>17</v>
      </c>
      <c r="G10">
        <f t="shared" si="4"/>
        <v>3890</v>
      </c>
      <c r="H10">
        <v>2.9355000000000002</v>
      </c>
      <c r="I10">
        <v>1.28</v>
      </c>
      <c r="J10">
        <v>1</v>
      </c>
      <c r="K10">
        <f t="shared" si="0"/>
        <v>14616.441600000002</v>
      </c>
      <c r="L10">
        <v>200</v>
      </c>
      <c r="M10">
        <v>2.38</v>
      </c>
      <c r="N10">
        <f t="shared" si="1"/>
        <v>3.9254545454545453</v>
      </c>
      <c r="O10">
        <v>0</v>
      </c>
      <c r="P10">
        <v>0.85</v>
      </c>
      <c r="Q10">
        <v>3.22</v>
      </c>
      <c r="R10">
        <f t="shared" si="2"/>
        <v>3.7370000000000001</v>
      </c>
      <c r="S10">
        <v>1.1499999999999999</v>
      </c>
      <c r="T10">
        <v>1.2</v>
      </c>
      <c r="U10">
        <f t="shared" si="3"/>
        <v>295892.38796346483</v>
      </c>
      <c r="V10" s="7"/>
    </row>
    <row r="11" spans="1:22" x14ac:dyDescent="0.3">
      <c r="A11" s="12"/>
      <c r="C11" s="13"/>
      <c r="F11" t="s">
        <v>61</v>
      </c>
      <c r="G11">
        <f t="shared" si="4"/>
        <v>3890</v>
      </c>
      <c r="H11">
        <v>1.2</v>
      </c>
      <c r="I11">
        <v>1.28</v>
      </c>
      <c r="J11">
        <v>1</v>
      </c>
      <c r="K11">
        <f t="shared" si="0"/>
        <v>5975.04</v>
      </c>
      <c r="L11">
        <v>200</v>
      </c>
      <c r="M11">
        <v>2.38</v>
      </c>
      <c r="N11">
        <f t="shared" si="1"/>
        <v>3.9254545454545453</v>
      </c>
      <c r="O11">
        <v>0</v>
      </c>
      <c r="P11">
        <v>0.85</v>
      </c>
      <c r="Q11">
        <v>3.22</v>
      </c>
      <c r="R11">
        <f t="shared" si="2"/>
        <v>3.7370000000000001</v>
      </c>
      <c r="S11">
        <v>1.1499999999999999</v>
      </c>
      <c r="T11">
        <v>1.2</v>
      </c>
      <c r="U11">
        <f t="shared" si="3"/>
        <v>120957.54234582107</v>
      </c>
      <c r="V11" s="7"/>
    </row>
    <row r="12" spans="1:22" x14ac:dyDescent="0.3">
      <c r="A12" s="12"/>
      <c r="C12" s="13"/>
      <c r="F12" t="s">
        <v>17</v>
      </c>
      <c r="G12">
        <f t="shared" si="4"/>
        <v>3890</v>
      </c>
      <c r="H12">
        <v>2.9355000000000002</v>
      </c>
      <c r="I12">
        <v>1.28</v>
      </c>
      <c r="J12">
        <v>1</v>
      </c>
      <c r="K12">
        <f t="shared" si="0"/>
        <v>14616.441600000002</v>
      </c>
      <c r="L12">
        <v>200</v>
      </c>
      <c r="M12">
        <v>2.38</v>
      </c>
      <c r="N12">
        <f t="shared" si="1"/>
        <v>3.9254545454545453</v>
      </c>
      <c r="O12">
        <v>0</v>
      </c>
      <c r="P12">
        <v>0.85</v>
      </c>
      <c r="Q12">
        <v>3.22</v>
      </c>
      <c r="R12">
        <f t="shared" si="2"/>
        <v>3.7370000000000001</v>
      </c>
      <c r="S12">
        <v>1.1499999999999999</v>
      </c>
      <c r="T12">
        <v>1.2</v>
      </c>
      <c r="U12">
        <f t="shared" si="3"/>
        <v>295892.38796346483</v>
      </c>
      <c r="V12" s="7"/>
    </row>
    <row r="13" spans="1:22" x14ac:dyDescent="0.3">
      <c r="A13" s="14"/>
      <c r="C13" s="13"/>
      <c r="F13" t="s">
        <v>61</v>
      </c>
      <c r="G13">
        <f t="shared" si="4"/>
        <v>3890</v>
      </c>
      <c r="H13">
        <v>1.2</v>
      </c>
      <c r="I13">
        <v>1.28</v>
      </c>
      <c r="J13">
        <v>1</v>
      </c>
      <c r="K13">
        <f t="shared" si="0"/>
        <v>5975.04</v>
      </c>
      <c r="L13">
        <v>200</v>
      </c>
      <c r="M13">
        <v>2.38</v>
      </c>
      <c r="N13">
        <f t="shared" si="1"/>
        <v>3.9254545454545453</v>
      </c>
      <c r="O13">
        <v>0</v>
      </c>
      <c r="P13">
        <v>0.85</v>
      </c>
      <c r="Q13">
        <v>3.22</v>
      </c>
      <c r="R13">
        <f t="shared" si="2"/>
        <v>3.7370000000000001</v>
      </c>
      <c r="S13">
        <v>1.1499999999999999</v>
      </c>
      <c r="T13">
        <v>1.2</v>
      </c>
      <c r="U13">
        <f t="shared" si="3"/>
        <v>120957.54234582107</v>
      </c>
      <c r="V13" s="7"/>
    </row>
    <row r="14" spans="1:22" x14ac:dyDescent="0.3">
      <c r="A14" s="6"/>
      <c r="F14" t="s">
        <v>20</v>
      </c>
      <c r="G14">
        <f t="shared" si="4"/>
        <v>3890</v>
      </c>
      <c r="H14">
        <v>7.0294999999999996</v>
      </c>
      <c r="I14">
        <v>1.28</v>
      </c>
      <c r="J14">
        <v>2</v>
      </c>
      <c r="K14">
        <f t="shared" si="0"/>
        <v>70002.572799999994</v>
      </c>
      <c r="L14">
        <v>200</v>
      </c>
      <c r="M14">
        <v>2.38</v>
      </c>
      <c r="N14">
        <f t="shared" si="1"/>
        <v>3.9254545454545453</v>
      </c>
      <c r="O14">
        <v>0</v>
      </c>
      <c r="P14">
        <v>0.85</v>
      </c>
      <c r="Q14">
        <v>2.2200000000000002</v>
      </c>
      <c r="R14">
        <f t="shared" si="2"/>
        <v>2.887</v>
      </c>
      <c r="S14">
        <v>1.1499999999999999</v>
      </c>
      <c r="T14">
        <v>1.2</v>
      </c>
      <c r="U14">
        <f t="shared" si="3"/>
        <v>1094787.4871986855</v>
      </c>
      <c r="V14" s="7"/>
    </row>
    <row r="15" spans="1:22" x14ac:dyDescent="0.3">
      <c r="A15" s="6"/>
      <c r="F15" t="s">
        <v>19</v>
      </c>
      <c r="G15">
        <f t="shared" si="4"/>
        <v>3890</v>
      </c>
      <c r="H15">
        <v>0.58320000000000005</v>
      </c>
      <c r="I15">
        <v>1.28</v>
      </c>
      <c r="J15">
        <v>4</v>
      </c>
      <c r="K15">
        <f t="shared" si="0"/>
        <v>11615.477760000002</v>
      </c>
      <c r="L15">
        <v>200</v>
      </c>
      <c r="M15">
        <v>2.38</v>
      </c>
      <c r="N15">
        <f t="shared" si="1"/>
        <v>3.9254545454545453</v>
      </c>
      <c r="O15">
        <v>0</v>
      </c>
      <c r="P15">
        <v>0.85</v>
      </c>
      <c r="Q15">
        <v>2.2200000000000002</v>
      </c>
      <c r="R15">
        <f t="shared" si="2"/>
        <v>2.887</v>
      </c>
      <c r="S15">
        <v>1.1499999999999999</v>
      </c>
      <c r="T15">
        <v>1.2</v>
      </c>
      <c r="U15">
        <f t="shared" si="3"/>
        <v>181657.31916474109</v>
      </c>
      <c r="V15" s="7"/>
    </row>
    <row r="16" spans="1:22" x14ac:dyDescent="0.3">
      <c r="A16" s="6"/>
      <c r="F16" t="s">
        <v>58</v>
      </c>
      <c r="G16">
        <f t="shared" si="4"/>
        <v>3890</v>
      </c>
      <c r="H16">
        <v>1.875</v>
      </c>
      <c r="I16">
        <v>1.28</v>
      </c>
      <c r="J16">
        <v>1</v>
      </c>
      <c r="K16">
        <f t="shared" si="0"/>
        <v>9336</v>
      </c>
      <c r="L16">
        <v>200</v>
      </c>
      <c r="M16">
        <v>2.38</v>
      </c>
      <c r="N16">
        <f t="shared" si="1"/>
        <v>3.9254545454545453</v>
      </c>
      <c r="O16">
        <v>0</v>
      </c>
      <c r="P16">
        <v>0.85</v>
      </c>
      <c r="Q16">
        <v>2.2200000000000002</v>
      </c>
      <c r="R16">
        <f t="shared" si="2"/>
        <v>2.887</v>
      </c>
      <c r="S16">
        <v>1.1499999999999999</v>
      </c>
      <c r="T16">
        <v>1.2</v>
      </c>
      <c r="U16">
        <f t="shared" si="3"/>
        <v>146008.00472989088</v>
      </c>
      <c r="V16" s="7"/>
    </row>
    <row r="17" spans="1:22" x14ac:dyDescent="0.3">
      <c r="A17" s="6"/>
      <c r="F17" t="s">
        <v>17</v>
      </c>
      <c r="G17">
        <f>3199+488+203</f>
        <v>3890</v>
      </c>
      <c r="H17">
        <v>2.9355000000000002</v>
      </c>
      <c r="I17">
        <v>1.28</v>
      </c>
      <c r="J17">
        <v>1</v>
      </c>
      <c r="K17">
        <f t="shared" si="0"/>
        <v>14616.441600000002</v>
      </c>
      <c r="L17">
        <v>200</v>
      </c>
      <c r="M17">
        <v>2.38</v>
      </c>
      <c r="N17">
        <f t="shared" si="1"/>
        <v>3.9254545454545453</v>
      </c>
      <c r="O17">
        <v>0</v>
      </c>
      <c r="P17">
        <v>0.85</v>
      </c>
      <c r="Q17">
        <v>2.62</v>
      </c>
      <c r="R17">
        <f t="shared" si="2"/>
        <v>3.2269999999999999</v>
      </c>
      <c r="S17">
        <v>0.9</v>
      </c>
      <c r="T17">
        <v>1.2</v>
      </c>
      <c r="U17">
        <f t="shared" si="3"/>
        <v>199965.15744140054</v>
      </c>
      <c r="V17" s="7"/>
    </row>
    <row r="18" spans="1:22" x14ac:dyDescent="0.3">
      <c r="A18" s="6"/>
      <c r="F18" t="s">
        <v>17</v>
      </c>
      <c r="G18">
        <f>3199+203</f>
        <v>3402</v>
      </c>
      <c r="H18">
        <v>2.9355000000000002</v>
      </c>
      <c r="I18">
        <v>1.28</v>
      </c>
      <c r="J18">
        <v>1</v>
      </c>
      <c r="K18">
        <f t="shared" si="0"/>
        <v>12782.810880000001</v>
      </c>
      <c r="L18">
        <v>200</v>
      </c>
      <c r="M18">
        <v>2.38</v>
      </c>
      <c r="N18">
        <f t="shared" si="1"/>
        <v>3.9254545454545453</v>
      </c>
      <c r="O18">
        <v>0</v>
      </c>
      <c r="P18">
        <v>0.85</v>
      </c>
      <c r="Q18">
        <v>2.82</v>
      </c>
      <c r="R18">
        <f t="shared" si="2"/>
        <v>3.3969999999999998</v>
      </c>
      <c r="S18">
        <v>0.9</v>
      </c>
      <c r="T18">
        <v>1.2</v>
      </c>
      <c r="U18">
        <f t="shared" si="3"/>
        <v>184092.29793096526</v>
      </c>
      <c r="V18" s="7"/>
    </row>
    <row r="19" spans="1:22" x14ac:dyDescent="0.3">
      <c r="A19" s="6"/>
      <c r="F19" t="s">
        <v>17</v>
      </c>
      <c r="G19">
        <f t="shared" ref="G19:G23" si="5">3199+203</f>
        <v>3402</v>
      </c>
      <c r="H19">
        <v>2.9355000000000002</v>
      </c>
      <c r="I19">
        <v>1.28</v>
      </c>
      <c r="J19">
        <v>1</v>
      </c>
      <c r="K19">
        <f t="shared" si="0"/>
        <v>12782.810880000001</v>
      </c>
      <c r="L19">
        <v>200</v>
      </c>
      <c r="M19">
        <v>2.38</v>
      </c>
      <c r="N19">
        <f t="shared" si="1"/>
        <v>3.9254545454545453</v>
      </c>
      <c r="O19">
        <v>0</v>
      </c>
      <c r="P19">
        <v>0.85</v>
      </c>
      <c r="Q19">
        <v>3.02</v>
      </c>
      <c r="R19">
        <f t="shared" si="2"/>
        <v>3.5669999999999997</v>
      </c>
      <c r="S19">
        <v>0.9</v>
      </c>
      <c r="T19">
        <v>1.2</v>
      </c>
      <c r="U19">
        <f t="shared" si="3"/>
        <v>193305.04171909127</v>
      </c>
      <c r="V19" s="7"/>
    </row>
    <row r="20" spans="1:22" x14ac:dyDescent="0.3">
      <c r="A20" s="6"/>
      <c r="F20" t="s">
        <v>58</v>
      </c>
      <c r="G20">
        <f t="shared" si="5"/>
        <v>3402</v>
      </c>
      <c r="H20">
        <v>1.875</v>
      </c>
      <c r="I20">
        <v>1.28</v>
      </c>
      <c r="J20">
        <v>1</v>
      </c>
      <c r="K20">
        <f t="shared" si="0"/>
        <v>8164.8</v>
      </c>
      <c r="L20">
        <v>200</v>
      </c>
      <c r="M20">
        <v>2.38</v>
      </c>
      <c r="N20">
        <f t="shared" si="1"/>
        <v>3.9254545454545453</v>
      </c>
      <c r="O20">
        <v>0</v>
      </c>
      <c r="P20">
        <v>0.85</v>
      </c>
      <c r="Q20">
        <v>2.2200000000000002</v>
      </c>
      <c r="R20">
        <f t="shared" si="2"/>
        <v>2.887</v>
      </c>
      <c r="S20">
        <v>0.9</v>
      </c>
      <c r="T20">
        <v>1.2</v>
      </c>
      <c r="U20">
        <f t="shared" si="3"/>
        <v>99932.336846312712</v>
      </c>
      <c r="V20" s="7"/>
    </row>
    <row r="21" spans="1:22" x14ac:dyDescent="0.3">
      <c r="A21" s="6"/>
      <c r="F21" t="s">
        <v>61</v>
      </c>
      <c r="G21">
        <f t="shared" si="5"/>
        <v>3402</v>
      </c>
      <c r="H21">
        <v>1.2</v>
      </c>
      <c r="I21">
        <v>1.28</v>
      </c>
      <c r="J21">
        <v>1</v>
      </c>
      <c r="K21">
        <f t="shared" si="0"/>
        <v>5225.4719999999998</v>
      </c>
      <c r="L21">
        <v>200</v>
      </c>
      <c r="M21">
        <v>2.38</v>
      </c>
      <c r="N21">
        <f t="shared" si="1"/>
        <v>3.9254545454545453</v>
      </c>
      <c r="O21">
        <v>0</v>
      </c>
      <c r="P21">
        <v>0.85</v>
      </c>
      <c r="Q21">
        <v>3.22</v>
      </c>
      <c r="R21">
        <f t="shared" si="2"/>
        <v>3.7370000000000001</v>
      </c>
      <c r="S21">
        <v>0.9</v>
      </c>
      <c r="T21">
        <v>1.2</v>
      </c>
      <c r="U21">
        <f t="shared" si="3"/>
        <v>82787.035465392852</v>
      </c>
      <c r="V21" s="7"/>
    </row>
    <row r="22" spans="1:22" x14ac:dyDescent="0.3">
      <c r="A22" s="6"/>
      <c r="F22" t="s">
        <v>17</v>
      </c>
      <c r="G22">
        <f t="shared" si="5"/>
        <v>3402</v>
      </c>
      <c r="H22">
        <v>2.9355000000000002</v>
      </c>
      <c r="I22">
        <v>1.28</v>
      </c>
      <c r="J22">
        <v>1</v>
      </c>
      <c r="K22">
        <f t="shared" si="0"/>
        <v>12782.810880000001</v>
      </c>
      <c r="L22">
        <v>200</v>
      </c>
      <c r="M22">
        <v>2.38</v>
      </c>
      <c r="N22">
        <f t="shared" si="1"/>
        <v>3.9254545454545453</v>
      </c>
      <c r="O22">
        <v>0</v>
      </c>
      <c r="P22">
        <v>0.85</v>
      </c>
      <c r="Q22">
        <v>3.22</v>
      </c>
      <c r="R22">
        <f t="shared" si="2"/>
        <v>3.7370000000000001</v>
      </c>
      <c r="S22">
        <v>0.9</v>
      </c>
      <c r="T22">
        <v>1.2</v>
      </c>
      <c r="U22">
        <f t="shared" si="3"/>
        <v>202517.78550721734</v>
      </c>
      <c r="V22" s="7"/>
    </row>
    <row r="23" spans="1:22" x14ac:dyDescent="0.3">
      <c r="A23" s="6"/>
      <c r="F23" t="s">
        <v>61</v>
      </c>
      <c r="G23">
        <f t="shared" si="5"/>
        <v>3402</v>
      </c>
      <c r="H23">
        <v>1.2</v>
      </c>
      <c r="I23">
        <v>1.28</v>
      </c>
      <c r="J23">
        <v>1</v>
      </c>
      <c r="K23">
        <f t="shared" si="0"/>
        <v>5225.4719999999998</v>
      </c>
      <c r="L23">
        <v>200</v>
      </c>
      <c r="M23">
        <v>2.38</v>
      </c>
      <c r="N23">
        <f t="shared" si="1"/>
        <v>3.9254545454545453</v>
      </c>
      <c r="O23">
        <v>0</v>
      </c>
      <c r="P23">
        <v>0.85</v>
      </c>
      <c r="Q23">
        <v>3.22</v>
      </c>
      <c r="R23">
        <f t="shared" si="2"/>
        <v>3.7370000000000001</v>
      </c>
      <c r="S23">
        <v>0.9</v>
      </c>
      <c r="T23">
        <v>1.2</v>
      </c>
      <c r="U23">
        <f t="shared" si="3"/>
        <v>82787.035465392852</v>
      </c>
      <c r="V23" s="7"/>
    </row>
    <row r="24" spans="1:22" x14ac:dyDescent="0.3">
      <c r="A24" s="6"/>
      <c r="F24" t="s">
        <v>17</v>
      </c>
      <c r="G24">
        <f>3199</f>
        <v>3199</v>
      </c>
      <c r="H24">
        <v>2.9355000000000002</v>
      </c>
      <c r="I24">
        <v>1.28</v>
      </c>
      <c r="J24">
        <v>1</v>
      </c>
      <c r="K24">
        <f t="shared" si="0"/>
        <v>12020.050560000001</v>
      </c>
      <c r="L24">
        <v>200</v>
      </c>
      <c r="M24">
        <v>1.88</v>
      </c>
      <c r="N24">
        <f t="shared" si="1"/>
        <v>3.4254545454545453</v>
      </c>
      <c r="O24">
        <v>0</v>
      </c>
      <c r="P24">
        <v>0.85</v>
      </c>
      <c r="Q24">
        <v>3.22</v>
      </c>
      <c r="R24">
        <f t="shared" si="2"/>
        <v>3.7370000000000001</v>
      </c>
      <c r="S24">
        <v>0.9</v>
      </c>
      <c r="T24">
        <v>1.2</v>
      </c>
      <c r="U24">
        <f t="shared" si="3"/>
        <v>166177.1692696932</v>
      </c>
      <c r="V24" s="7"/>
    </row>
    <row r="25" spans="1:22" x14ac:dyDescent="0.3">
      <c r="A25" s="6"/>
      <c r="F25" t="s">
        <v>61</v>
      </c>
      <c r="G25">
        <f>3199</f>
        <v>3199</v>
      </c>
      <c r="H25">
        <v>1.2</v>
      </c>
      <c r="I25">
        <v>1.28</v>
      </c>
      <c r="J25">
        <v>1</v>
      </c>
      <c r="K25">
        <f t="shared" si="0"/>
        <v>4913.6639999999998</v>
      </c>
      <c r="L25">
        <v>200</v>
      </c>
      <c r="M25">
        <v>1.88</v>
      </c>
      <c r="N25">
        <f t="shared" si="1"/>
        <v>3.4254545454545453</v>
      </c>
      <c r="O25">
        <v>0</v>
      </c>
      <c r="P25">
        <v>0.85</v>
      </c>
      <c r="Q25">
        <v>3.22</v>
      </c>
      <c r="R25">
        <f t="shared" si="2"/>
        <v>3.7370000000000001</v>
      </c>
      <c r="S25">
        <v>0.9</v>
      </c>
      <c r="T25">
        <v>1.2</v>
      </c>
      <c r="U25">
        <f t="shared" si="3"/>
        <v>67931.392649849018</v>
      </c>
      <c r="V25" s="7"/>
    </row>
    <row r="26" spans="1:22" x14ac:dyDescent="0.3">
      <c r="A26" s="6"/>
      <c r="F26" t="s">
        <v>17</v>
      </c>
      <c r="G26">
        <f>3199</f>
        <v>3199</v>
      </c>
      <c r="H26">
        <v>2.9355000000000002</v>
      </c>
      <c r="I26">
        <v>1.28</v>
      </c>
      <c r="J26">
        <v>1</v>
      </c>
      <c r="K26">
        <f t="shared" si="0"/>
        <v>12020.050560000001</v>
      </c>
      <c r="L26">
        <v>200</v>
      </c>
      <c r="M26">
        <v>1.88</v>
      </c>
      <c r="N26">
        <f t="shared" si="1"/>
        <v>3.4254545454545453</v>
      </c>
      <c r="O26">
        <v>0</v>
      </c>
      <c r="P26">
        <v>0.85</v>
      </c>
      <c r="Q26">
        <v>3.22</v>
      </c>
      <c r="R26">
        <f t="shared" si="2"/>
        <v>3.7370000000000001</v>
      </c>
      <c r="S26">
        <v>0.9</v>
      </c>
      <c r="T26">
        <v>1.2</v>
      </c>
      <c r="U26">
        <f t="shared" si="3"/>
        <v>166177.1692696932</v>
      </c>
      <c r="V26" s="7"/>
    </row>
    <row r="27" spans="1:22" x14ac:dyDescent="0.3">
      <c r="A27" s="6"/>
      <c r="F27" t="s">
        <v>61</v>
      </c>
      <c r="G27">
        <f>3199</f>
        <v>3199</v>
      </c>
      <c r="H27">
        <v>1.2</v>
      </c>
      <c r="I27">
        <v>1.28</v>
      </c>
      <c r="J27">
        <v>1</v>
      </c>
      <c r="K27">
        <f t="shared" si="0"/>
        <v>4913.6639999999998</v>
      </c>
      <c r="L27">
        <v>200</v>
      </c>
      <c r="M27">
        <v>1.88</v>
      </c>
      <c r="N27">
        <f t="shared" si="1"/>
        <v>3.4254545454545453</v>
      </c>
      <c r="O27">
        <v>0</v>
      </c>
      <c r="P27">
        <v>0.85</v>
      </c>
      <c r="Q27">
        <v>3.22</v>
      </c>
      <c r="R27">
        <f t="shared" si="2"/>
        <v>3.7370000000000001</v>
      </c>
      <c r="S27">
        <v>0.9</v>
      </c>
      <c r="T27">
        <v>1.2</v>
      </c>
      <c r="U27">
        <f t="shared" si="3"/>
        <v>67931.392649849018</v>
      </c>
      <c r="V27" s="7"/>
    </row>
    <row r="28" spans="1:22" x14ac:dyDescent="0.3">
      <c r="A28" s="6"/>
      <c r="F28" s="6" t="s">
        <v>19</v>
      </c>
      <c r="G28">
        <f>3199</f>
        <v>3199</v>
      </c>
      <c r="H28">
        <v>0.58320000000000005</v>
      </c>
      <c r="I28">
        <v>1.28</v>
      </c>
      <c r="J28">
        <v>4</v>
      </c>
      <c r="K28">
        <f t="shared" si="0"/>
        <v>9552.1628160000018</v>
      </c>
      <c r="L28">
        <v>200</v>
      </c>
      <c r="M28">
        <v>1.88</v>
      </c>
      <c r="N28">
        <f t="shared" si="1"/>
        <v>3.4254545454545453</v>
      </c>
      <c r="O28">
        <v>0</v>
      </c>
      <c r="P28">
        <v>0.85</v>
      </c>
      <c r="Q28">
        <v>2.2200000000000002</v>
      </c>
      <c r="R28">
        <f t="shared" si="2"/>
        <v>2.887</v>
      </c>
      <c r="S28">
        <v>0.9</v>
      </c>
      <c r="T28">
        <v>1.2</v>
      </c>
      <c r="U28">
        <f t="shared" si="3"/>
        <v>102021.20873635051</v>
      </c>
      <c r="V28" s="7"/>
    </row>
    <row r="29" spans="1:22" x14ac:dyDescent="0.3">
      <c r="A29" s="6"/>
      <c r="V29" s="7"/>
    </row>
    <row r="30" spans="1:22" x14ac:dyDescent="0.3">
      <c r="A30" s="6"/>
      <c r="G30" t="s">
        <v>1</v>
      </c>
      <c r="H30" t="s">
        <v>5</v>
      </c>
      <c r="I30" t="s">
        <v>7</v>
      </c>
      <c r="J30" t="s">
        <v>7</v>
      </c>
      <c r="K30" t="s">
        <v>8</v>
      </c>
      <c r="L30" t="s">
        <v>22</v>
      </c>
      <c r="M30" t="s">
        <v>0</v>
      </c>
      <c r="N30" t="s">
        <v>11</v>
      </c>
      <c r="O30" t="s">
        <v>12</v>
      </c>
      <c r="P30" t="s">
        <v>13</v>
      </c>
      <c r="Q30" t="s">
        <v>15</v>
      </c>
      <c r="R30" t="s">
        <v>23</v>
      </c>
      <c r="S30" t="s">
        <v>24</v>
      </c>
      <c r="T30" t="s">
        <v>16</v>
      </c>
      <c r="V30" s="7"/>
    </row>
    <row r="31" spans="1:22" x14ac:dyDescent="0.3">
      <c r="A31" s="6"/>
      <c r="G31">
        <f>3199+488+203</f>
        <v>3890</v>
      </c>
      <c r="H31">
        <v>1.03</v>
      </c>
      <c r="I31">
        <v>1</v>
      </c>
      <c r="J31">
        <v>1</v>
      </c>
      <c r="K31">
        <f>G31*H31*I31*J31</f>
        <v>4006.7000000000003</v>
      </c>
      <c r="L31">
        <v>1</v>
      </c>
      <c r="M31">
        <v>0.85</v>
      </c>
      <c r="N31">
        <v>2.2200000000000002</v>
      </c>
      <c r="O31">
        <f>1+M31*N31</f>
        <v>2.887</v>
      </c>
      <c r="P31">
        <v>1.1499999999999999</v>
      </c>
      <c r="Q31">
        <f>K31*L31*O31*P31</f>
        <v>13302.444335</v>
      </c>
      <c r="R31">
        <v>18</v>
      </c>
      <c r="S31">
        <f>Q31*R31</f>
        <v>239443.99803000002</v>
      </c>
      <c r="T31">
        <f>SUM(S31:S37)</f>
        <v>488337.68871894013</v>
      </c>
      <c r="V31" s="7"/>
    </row>
    <row r="32" spans="1:22" x14ac:dyDescent="0.3">
      <c r="A32" s="6"/>
      <c r="G32">
        <f t="shared" ref="G32:G33" si="6">3199+488+203</f>
        <v>3890</v>
      </c>
      <c r="H32">
        <v>1.8746</v>
      </c>
      <c r="I32">
        <v>3</v>
      </c>
      <c r="J32">
        <v>1</v>
      </c>
      <c r="K32">
        <f t="shared" ref="K32:K33" si="7">G32*H32*I32*J32</f>
        <v>21876.582000000002</v>
      </c>
      <c r="L32">
        <v>1</v>
      </c>
      <c r="M32">
        <v>0.85</v>
      </c>
      <c r="N32">
        <v>2.2200000000000002</v>
      </c>
      <c r="O32">
        <f t="shared" ref="O32:O33" si="8">1+M32*N32</f>
        <v>2.887</v>
      </c>
      <c r="P32">
        <v>1.1499999999999999</v>
      </c>
      <c r="Q32">
        <f t="shared" ref="Q32:Q33" si="9">K32*L32*O32*P32</f>
        <v>72631.346069100007</v>
      </c>
      <c r="R32">
        <v>1</v>
      </c>
      <c r="S32">
        <f t="shared" ref="S32:S33" si="10">Q32*R32</f>
        <v>72631.346069100007</v>
      </c>
      <c r="V32" s="7"/>
    </row>
    <row r="33" spans="1:22" x14ac:dyDescent="0.3">
      <c r="A33" s="6"/>
      <c r="G33">
        <f t="shared" si="6"/>
        <v>3890</v>
      </c>
      <c r="H33">
        <v>0.58320000000000005</v>
      </c>
      <c r="I33">
        <v>1</v>
      </c>
      <c r="J33">
        <v>1</v>
      </c>
      <c r="K33">
        <f t="shared" si="7"/>
        <v>2268.6480000000001</v>
      </c>
      <c r="L33">
        <v>1</v>
      </c>
      <c r="M33">
        <v>0.85</v>
      </c>
      <c r="N33">
        <v>2.2200000000000002</v>
      </c>
      <c r="O33">
        <f t="shared" si="8"/>
        <v>2.887</v>
      </c>
      <c r="P33">
        <v>1.1499999999999999</v>
      </c>
      <c r="Q33">
        <f t="shared" si="9"/>
        <v>7532.0247923999996</v>
      </c>
      <c r="R33">
        <v>1</v>
      </c>
      <c r="S33">
        <f t="shared" si="10"/>
        <v>7532.0247923999996</v>
      </c>
      <c r="V33" s="7"/>
    </row>
    <row r="34" spans="1:22" x14ac:dyDescent="0.3">
      <c r="A34" s="6"/>
      <c r="G34">
        <f>G18</f>
        <v>3402</v>
      </c>
      <c r="H34">
        <v>1.03</v>
      </c>
      <c r="I34">
        <v>1</v>
      </c>
      <c r="J34">
        <v>1</v>
      </c>
      <c r="K34">
        <f>G34*H34*I34*J34</f>
        <v>3504.06</v>
      </c>
      <c r="L34">
        <v>1</v>
      </c>
      <c r="M34">
        <v>0.85</v>
      </c>
      <c r="N34">
        <v>2.2200000000000002</v>
      </c>
      <c r="O34">
        <f>1+M34*N34</f>
        <v>2.887</v>
      </c>
      <c r="P34">
        <v>0.9</v>
      </c>
      <c r="Q34">
        <f>K34*L34*O34*P34</f>
        <v>9104.5990980000006</v>
      </c>
      <c r="R34">
        <v>18</v>
      </c>
      <c r="S34">
        <f>Q34*R34</f>
        <v>163882.78376400002</v>
      </c>
      <c r="V34" s="7"/>
    </row>
    <row r="35" spans="1:22" x14ac:dyDescent="0.3">
      <c r="A35" s="6"/>
      <c r="G35">
        <f>G28</f>
        <v>3199</v>
      </c>
      <c r="H35">
        <v>0.58320000000000005</v>
      </c>
      <c r="I35">
        <v>1</v>
      </c>
      <c r="J35">
        <v>1</v>
      </c>
      <c r="K35">
        <f t="shared" ref="K35" si="11">G35*H35*I35*J35</f>
        <v>1865.6568000000002</v>
      </c>
      <c r="L35">
        <v>1</v>
      </c>
      <c r="M35">
        <v>0.85</v>
      </c>
      <c r="N35">
        <v>2.2200000000000002</v>
      </c>
      <c r="O35">
        <f t="shared" ref="O35" si="12">1+M35*N35</f>
        <v>2.887</v>
      </c>
      <c r="P35">
        <v>0.9</v>
      </c>
      <c r="Q35">
        <f t="shared" ref="Q35" si="13">K35*L35*O35*P35</f>
        <v>4847.5360634400004</v>
      </c>
      <c r="R35">
        <v>1</v>
      </c>
      <c r="S35">
        <f t="shared" ref="S35" si="14">Q35*R35</f>
        <v>4847.5360634400004</v>
      </c>
      <c r="V35" s="7"/>
    </row>
    <row r="36" spans="1:22" ht="14.5" thickBot="1" x14ac:dyDescent="0.35">
      <c r="A36" s="6"/>
      <c r="V36" s="7"/>
    </row>
    <row r="37" spans="1:22" x14ac:dyDescent="0.3">
      <c r="A37" s="6"/>
      <c r="F37" s="19" t="s">
        <v>3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1"/>
    </row>
    <row r="38" spans="1:22" x14ac:dyDescent="0.3">
      <c r="A38" s="6"/>
      <c r="F38" s="6" t="s">
        <v>4</v>
      </c>
      <c r="G38" t="s">
        <v>1</v>
      </c>
      <c r="H38" t="s">
        <v>5</v>
      </c>
      <c r="I38" t="s">
        <v>6</v>
      </c>
      <c r="J38" t="s">
        <v>7</v>
      </c>
      <c r="K38" t="s">
        <v>8</v>
      </c>
      <c r="L38" t="s">
        <v>2</v>
      </c>
      <c r="M38" t="s">
        <v>18</v>
      </c>
      <c r="N38" t="s">
        <v>9</v>
      </c>
      <c r="O38" t="s">
        <v>10</v>
      </c>
      <c r="P38" t="s">
        <v>0</v>
      </c>
      <c r="Q38" t="s">
        <v>11</v>
      </c>
      <c r="R38" t="s">
        <v>12</v>
      </c>
      <c r="S38" t="s">
        <v>13</v>
      </c>
      <c r="T38" t="s">
        <v>14</v>
      </c>
      <c r="U38" t="s">
        <v>15</v>
      </c>
      <c r="V38" s="7" t="s">
        <v>16</v>
      </c>
    </row>
    <row r="39" spans="1:22" x14ac:dyDescent="0.3">
      <c r="A39" s="6"/>
      <c r="F39" s="6" t="s">
        <v>32</v>
      </c>
      <c r="G39">
        <v>2604</v>
      </c>
      <c r="H39">
        <v>8.2554999999999996</v>
      </c>
      <c r="I39">
        <v>1.28</v>
      </c>
      <c r="J39">
        <f>16*0.015+1</f>
        <v>1.24</v>
      </c>
      <c r="K39">
        <f>G39*H39*I39*J39</f>
        <v>34120.549478399997</v>
      </c>
      <c r="L39">
        <v>20</v>
      </c>
      <c r="M39">
        <v>1.1000000000000001</v>
      </c>
      <c r="N39">
        <f>1+6*L39/(L39+2000)+M39</f>
        <v>2.1594059405940595</v>
      </c>
      <c r="O39">
        <v>0</v>
      </c>
      <c r="P39">
        <v>0.93</v>
      </c>
      <c r="Q39">
        <v>2.2999999999999998</v>
      </c>
      <c r="R39">
        <f>1+P39*Q39</f>
        <v>3.1389999999999998</v>
      </c>
      <c r="S39">
        <v>0.9</v>
      </c>
      <c r="T39">
        <v>1</v>
      </c>
      <c r="U39">
        <f>(K39*N39+O39)*R39*S39*T39</f>
        <v>208153.69921469712</v>
      </c>
      <c r="V39" s="7">
        <f>SUM(U39:U48)</f>
        <v>449480.94105772296</v>
      </c>
    </row>
    <row r="40" spans="1:22" x14ac:dyDescent="0.3">
      <c r="A40" s="6"/>
      <c r="F40" s="6" t="s">
        <v>33</v>
      </c>
      <c r="G40">
        <f>189+2604</f>
        <v>2793</v>
      </c>
      <c r="H40">
        <v>0.72950000000000004</v>
      </c>
      <c r="I40">
        <v>1.28</v>
      </c>
      <c r="J40">
        <f>17*0.015+1</f>
        <v>1.2549999999999999</v>
      </c>
      <c r="K40">
        <f t="shared" ref="K40:K48" si="15">G40*H40*I40*J40</f>
        <v>3273.0295584</v>
      </c>
      <c r="L40">
        <v>20</v>
      </c>
      <c r="M40">
        <v>1.3</v>
      </c>
      <c r="N40">
        <f t="shared" ref="N40:N48" si="16">1+6*L40/(L40+2000)+M40</f>
        <v>2.3594059405940593</v>
      </c>
      <c r="O40">
        <v>0</v>
      </c>
      <c r="P40">
        <v>0.93</v>
      </c>
      <c r="Q40">
        <v>2.2999999999999998</v>
      </c>
      <c r="R40">
        <f t="shared" ref="R40:R48" si="17">1+P40*Q40</f>
        <v>3.1389999999999998</v>
      </c>
      <c r="S40">
        <v>0.9</v>
      </c>
      <c r="T40">
        <v>1</v>
      </c>
      <c r="U40">
        <f t="shared" ref="U40:U48" si="18">(K40*N40+O40)*R40*S40*T40</f>
        <v>21816.567449855054</v>
      </c>
      <c r="V40" s="7"/>
    </row>
    <row r="41" spans="1:22" x14ac:dyDescent="0.3">
      <c r="A41" s="6"/>
      <c r="F41" s="6" t="s">
        <v>34</v>
      </c>
      <c r="G41">
        <f t="shared" ref="G41:G47" si="19">189+2604</f>
        <v>2793</v>
      </c>
      <c r="H41">
        <v>0.87239999999999995</v>
      </c>
      <c r="I41">
        <v>1.28</v>
      </c>
      <c r="J41">
        <f t="shared" ref="J41:J47" si="20">17*0.015+1</f>
        <v>1.2549999999999999</v>
      </c>
      <c r="K41">
        <f t="shared" si="15"/>
        <v>3914.175444479999</v>
      </c>
      <c r="L41">
        <v>20</v>
      </c>
      <c r="M41">
        <v>1.3</v>
      </c>
      <c r="N41">
        <f t="shared" si="16"/>
        <v>2.3594059405940593</v>
      </c>
      <c r="O41">
        <v>0</v>
      </c>
      <c r="P41">
        <v>0.93</v>
      </c>
      <c r="Q41">
        <v>2.2999999999999998</v>
      </c>
      <c r="R41">
        <f t="shared" si="17"/>
        <v>3.1389999999999998</v>
      </c>
      <c r="S41">
        <v>1.1499999999999999</v>
      </c>
      <c r="T41">
        <v>1</v>
      </c>
      <c r="U41">
        <f t="shared" si="18"/>
        <v>33337.429685083509</v>
      </c>
      <c r="V41" s="7"/>
    </row>
    <row r="42" spans="1:22" x14ac:dyDescent="0.3">
      <c r="A42" s="6"/>
      <c r="F42" s="6" t="s">
        <v>35</v>
      </c>
      <c r="G42">
        <f t="shared" si="19"/>
        <v>2793</v>
      </c>
      <c r="H42">
        <v>0.72950000000000004</v>
      </c>
      <c r="I42">
        <v>1.28</v>
      </c>
      <c r="J42">
        <f t="shared" si="20"/>
        <v>1.2549999999999999</v>
      </c>
      <c r="K42">
        <f t="shared" si="15"/>
        <v>3273.0295584</v>
      </c>
      <c r="L42">
        <v>20</v>
      </c>
      <c r="M42">
        <v>1.3</v>
      </c>
      <c r="N42">
        <f t="shared" si="16"/>
        <v>2.3594059405940593</v>
      </c>
      <c r="O42">
        <v>0</v>
      </c>
      <c r="P42">
        <v>0.93</v>
      </c>
      <c r="Q42">
        <v>2.2999999999999998</v>
      </c>
      <c r="R42">
        <f t="shared" si="17"/>
        <v>3.1389999999999998</v>
      </c>
      <c r="S42">
        <v>1.1499999999999999</v>
      </c>
      <c r="T42">
        <v>1</v>
      </c>
      <c r="U42">
        <f t="shared" si="18"/>
        <v>27876.725074814789</v>
      </c>
      <c r="V42" s="7"/>
    </row>
    <row r="43" spans="1:22" x14ac:dyDescent="0.3">
      <c r="A43" s="6"/>
      <c r="F43" s="6" t="s">
        <v>36</v>
      </c>
      <c r="G43">
        <f t="shared" si="19"/>
        <v>2793</v>
      </c>
      <c r="H43">
        <v>0.87239999999999995</v>
      </c>
      <c r="I43">
        <v>1.28</v>
      </c>
      <c r="J43">
        <f t="shared" si="20"/>
        <v>1.2549999999999999</v>
      </c>
      <c r="K43">
        <f t="shared" si="15"/>
        <v>3914.175444479999</v>
      </c>
      <c r="L43">
        <v>20</v>
      </c>
      <c r="M43">
        <v>1.3</v>
      </c>
      <c r="N43">
        <f t="shared" si="16"/>
        <v>2.3594059405940593</v>
      </c>
      <c r="O43">
        <v>0</v>
      </c>
      <c r="P43">
        <v>0.93</v>
      </c>
      <c r="Q43">
        <v>2.2999999999999998</v>
      </c>
      <c r="R43">
        <f t="shared" si="17"/>
        <v>3.1389999999999998</v>
      </c>
      <c r="S43">
        <v>1.1499999999999999</v>
      </c>
      <c r="T43">
        <v>1</v>
      </c>
      <c r="U43">
        <f t="shared" si="18"/>
        <v>33337.429685083509</v>
      </c>
      <c r="V43" s="7"/>
    </row>
    <row r="44" spans="1:22" x14ac:dyDescent="0.3">
      <c r="A44" s="6"/>
      <c r="F44" s="6" t="s">
        <v>37</v>
      </c>
      <c r="G44">
        <f t="shared" si="19"/>
        <v>2793</v>
      </c>
      <c r="H44">
        <v>0.72950000000000004</v>
      </c>
      <c r="I44">
        <v>1.28</v>
      </c>
      <c r="J44">
        <f t="shared" si="20"/>
        <v>1.2549999999999999</v>
      </c>
      <c r="K44">
        <f t="shared" si="15"/>
        <v>3273.0295584</v>
      </c>
      <c r="L44">
        <v>20</v>
      </c>
      <c r="M44">
        <v>1.3</v>
      </c>
      <c r="N44">
        <f t="shared" si="16"/>
        <v>2.3594059405940593</v>
      </c>
      <c r="O44">
        <v>0</v>
      </c>
      <c r="P44">
        <v>0.93</v>
      </c>
      <c r="Q44">
        <v>2.2999999999999998</v>
      </c>
      <c r="R44">
        <f t="shared" si="17"/>
        <v>3.1389999999999998</v>
      </c>
      <c r="S44">
        <v>1.1499999999999999</v>
      </c>
      <c r="T44">
        <v>1</v>
      </c>
      <c r="U44">
        <f t="shared" si="18"/>
        <v>27876.725074814789</v>
      </c>
      <c r="V44" s="7"/>
    </row>
    <row r="45" spans="1:22" x14ac:dyDescent="0.3">
      <c r="A45" s="6"/>
      <c r="F45" s="6" t="s">
        <v>38</v>
      </c>
      <c r="G45">
        <f t="shared" si="19"/>
        <v>2793</v>
      </c>
      <c r="H45">
        <v>0.87239999999999995</v>
      </c>
      <c r="I45">
        <v>1.28</v>
      </c>
      <c r="J45">
        <f t="shared" si="20"/>
        <v>1.2549999999999999</v>
      </c>
      <c r="K45">
        <f t="shared" si="15"/>
        <v>3914.175444479999</v>
      </c>
      <c r="L45">
        <v>20</v>
      </c>
      <c r="M45">
        <v>1.3</v>
      </c>
      <c r="N45">
        <f t="shared" si="16"/>
        <v>2.3594059405940593</v>
      </c>
      <c r="O45">
        <v>0</v>
      </c>
      <c r="P45">
        <v>0.93</v>
      </c>
      <c r="Q45">
        <v>2.2999999999999998</v>
      </c>
      <c r="R45">
        <f t="shared" si="17"/>
        <v>3.1389999999999998</v>
      </c>
      <c r="S45">
        <v>1.1499999999999999</v>
      </c>
      <c r="T45">
        <v>1</v>
      </c>
      <c r="U45">
        <f t="shared" si="18"/>
        <v>33337.429685083509</v>
      </c>
      <c r="V45" s="7"/>
    </row>
    <row r="46" spans="1:22" x14ac:dyDescent="0.3">
      <c r="A46" s="6"/>
      <c r="F46" s="6" t="s">
        <v>39</v>
      </c>
      <c r="G46">
        <f t="shared" si="19"/>
        <v>2793</v>
      </c>
      <c r="H46">
        <v>0.72950000000000004</v>
      </c>
      <c r="I46">
        <v>1.28</v>
      </c>
      <c r="J46">
        <f t="shared" si="20"/>
        <v>1.2549999999999999</v>
      </c>
      <c r="K46">
        <f t="shared" si="15"/>
        <v>3273.0295584</v>
      </c>
      <c r="L46">
        <v>20</v>
      </c>
      <c r="M46">
        <v>1.3</v>
      </c>
      <c r="N46">
        <f t="shared" si="16"/>
        <v>2.3594059405940593</v>
      </c>
      <c r="O46">
        <v>0</v>
      </c>
      <c r="P46">
        <v>0.93</v>
      </c>
      <c r="Q46">
        <v>2.2999999999999998</v>
      </c>
      <c r="R46">
        <f t="shared" si="17"/>
        <v>3.1389999999999998</v>
      </c>
      <c r="S46">
        <v>0.9</v>
      </c>
      <c r="T46">
        <v>1</v>
      </c>
      <c r="U46">
        <f t="shared" si="18"/>
        <v>21816.567449855054</v>
      </c>
      <c r="V46" s="7"/>
    </row>
    <row r="47" spans="1:22" x14ac:dyDescent="0.3">
      <c r="A47" s="6"/>
      <c r="F47" s="6" t="s">
        <v>40</v>
      </c>
      <c r="G47">
        <f t="shared" si="19"/>
        <v>2793</v>
      </c>
      <c r="H47">
        <v>0.87239999999999995</v>
      </c>
      <c r="I47">
        <v>1.28</v>
      </c>
      <c r="J47">
        <f t="shared" si="20"/>
        <v>1.2549999999999999</v>
      </c>
      <c r="K47">
        <f t="shared" si="15"/>
        <v>3914.175444479999</v>
      </c>
      <c r="L47">
        <v>20</v>
      </c>
      <c r="M47">
        <v>1.3</v>
      </c>
      <c r="N47">
        <f t="shared" si="16"/>
        <v>2.3594059405940593</v>
      </c>
      <c r="O47">
        <v>0</v>
      </c>
      <c r="P47">
        <v>0.93</v>
      </c>
      <c r="Q47">
        <v>2.2999999999999998</v>
      </c>
      <c r="R47">
        <f t="shared" si="17"/>
        <v>3.1389999999999998</v>
      </c>
      <c r="S47">
        <v>0.9</v>
      </c>
      <c r="T47">
        <v>1</v>
      </c>
      <c r="U47">
        <f t="shared" si="18"/>
        <v>26090.162362239269</v>
      </c>
      <c r="V47" s="7"/>
    </row>
    <row r="48" spans="1:22" x14ac:dyDescent="0.3">
      <c r="A48" s="6"/>
      <c r="F48" s="6" t="s">
        <v>41</v>
      </c>
      <c r="G48">
        <v>2604</v>
      </c>
      <c r="H48">
        <v>0.72950000000000004</v>
      </c>
      <c r="I48">
        <v>1.28</v>
      </c>
      <c r="J48">
        <v>1.24</v>
      </c>
      <c r="K48">
        <f t="shared" si="15"/>
        <v>3015.0736896000003</v>
      </c>
      <c r="L48">
        <v>20</v>
      </c>
      <c r="M48">
        <v>0.8</v>
      </c>
      <c r="N48">
        <f t="shared" si="16"/>
        <v>1.8594059405940595</v>
      </c>
      <c r="O48">
        <v>0</v>
      </c>
      <c r="P48">
        <v>0.93</v>
      </c>
      <c r="Q48">
        <v>2.2999999999999998</v>
      </c>
      <c r="R48">
        <f t="shared" si="17"/>
        <v>3.1389999999999998</v>
      </c>
      <c r="S48">
        <v>0.9</v>
      </c>
      <c r="T48">
        <v>1</v>
      </c>
      <c r="U48">
        <f t="shared" si="18"/>
        <v>15838.205376196307</v>
      </c>
      <c r="V48" s="7"/>
    </row>
    <row r="49" spans="1:22" x14ac:dyDescent="0.3">
      <c r="A49" s="6"/>
      <c r="F49" s="6"/>
      <c r="V49" s="7"/>
    </row>
    <row r="50" spans="1:22" x14ac:dyDescent="0.3">
      <c r="A50" s="6"/>
      <c r="F50" s="6"/>
      <c r="G50" t="s">
        <v>1</v>
      </c>
      <c r="H50" t="s">
        <v>5</v>
      </c>
      <c r="I50" t="s">
        <v>7</v>
      </c>
      <c r="J50" t="s">
        <v>7</v>
      </c>
      <c r="K50" t="s">
        <v>8</v>
      </c>
      <c r="L50" t="s">
        <v>22</v>
      </c>
      <c r="M50" t="s">
        <v>0</v>
      </c>
      <c r="N50" t="s">
        <v>11</v>
      </c>
      <c r="O50" t="s">
        <v>12</v>
      </c>
      <c r="P50" t="s">
        <v>13</v>
      </c>
      <c r="Q50" t="s">
        <v>15</v>
      </c>
      <c r="R50" t="s">
        <v>23</v>
      </c>
      <c r="S50" t="s">
        <v>24</v>
      </c>
      <c r="T50" t="s">
        <v>16</v>
      </c>
      <c r="V50" s="7"/>
    </row>
    <row r="51" spans="1:22" x14ac:dyDescent="0.3">
      <c r="A51" s="6"/>
      <c r="F51" s="6"/>
      <c r="G51">
        <f>G39</f>
        <v>2604</v>
      </c>
      <c r="H51">
        <v>1.9454</v>
      </c>
      <c r="I51">
        <v>1</v>
      </c>
      <c r="J51">
        <v>1</v>
      </c>
      <c r="K51">
        <f>G51*H51*I51*J51</f>
        <v>5065.8216000000002</v>
      </c>
      <c r="L51">
        <v>1</v>
      </c>
      <c r="M51">
        <v>0.93</v>
      </c>
      <c r="N51">
        <v>2.2999999999999998</v>
      </c>
      <c r="O51">
        <f>1+M51*N51</f>
        <v>3.1389999999999998</v>
      </c>
      <c r="P51">
        <v>0.9</v>
      </c>
      <c r="Q51">
        <f>K51*L51*O51*P51</f>
        <v>14311.45260216</v>
      </c>
      <c r="R51">
        <v>1</v>
      </c>
      <c r="S51">
        <f>Q51*R51</f>
        <v>14311.45260216</v>
      </c>
      <c r="T51">
        <f>SUM(S51:S52)</f>
        <v>136818.63331352998</v>
      </c>
      <c r="V51" s="7"/>
    </row>
    <row r="52" spans="1:22" ht="14.5" thickBot="1" x14ac:dyDescent="0.35">
      <c r="A52" s="6"/>
      <c r="F52" s="8"/>
      <c r="G52" s="9">
        <f>G43</f>
        <v>2793</v>
      </c>
      <c r="H52" s="9">
        <v>1.7251000000000001</v>
      </c>
      <c r="I52" s="9">
        <v>1</v>
      </c>
      <c r="J52" s="9">
        <v>1</v>
      </c>
      <c r="K52" s="9">
        <f>G52*H52*I52*J52</f>
        <v>4818.2043000000003</v>
      </c>
      <c r="L52" s="9">
        <v>1</v>
      </c>
      <c r="M52" s="9">
        <v>0.93</v>
      </c>
      <c r="N52" s="9">
        <v>2.2999999999999998</v>
      </c>
      <c r="O52" s="9">
        <f>1+M52*N52</f>
        <v>3.1389999999999998</v>
      </c>
      <c r="P52" s="9">
        <v>0.9</v>
      </c>
      <c r="Q52" s="9">
        <f>K52*L52*O52*P52</f>
        <v>13611.90896793</v>
      </c>
      <c r="R52" s="9">
        <v>9</v>
      </c>
      <c r="S52" s="9">
        <f>Q52*R52</f>
        <v>122507.18071136999</v>
      </c>
      <c r="T52" s="9"/>
      <c r="U52" s="9"/>
      <c r="V52" s="10"/>
    </row>
    <row r="53" spans="1:22" x14ac:dyDescent="0.3">
      <c r="A53" s="6"/>
      <c r="V53" s="7"/>
    </row>
    <row r="54" spans="1:22" ht="14.5" thickBot="1" x14ac:dyDescent="0.35">
      <c r="A54" s="6"/>
      <c r="F54" s="22" t="s">
        <v>53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7"/>
    </row>
    <row r="55" spans="1:22" x14ac:dyDescent="0.3">
      <c r="A55" s="6"/>
      <c r="F55" s="3"/>
      <c r="G55" s="4" t="s">
        <v>42</v>
      </c>
      <c r="H55" s="4" t="s">
        <v>43</v>
      </c>
      <c r="I55" s="4" t="s">
        <v>6</v>
      </c>
      <c r="J55" s="4" t="s">
        <v>2</v>
      </c>
      <c r="K55" s="4" t="s">
        <v>18</v>
      </c>
      <c r="L55" s="4" t="s">
        <v>9</v>
      </c>
      <c r="M55" s="4" t="s">
        <v>0</v>
      </c>
      <c r="N55" s="4" t="s">
        <v>11</v>
      </c>
      <c r="O55" s="4" t="s">
        <v>12</v>
      </c>
      <c r="P55" s="4" t="s">
        <v>13</v>
      </c>
      <c r="Q55" s="4" t="s">
        <v>14</v>
      </c>
      <c r="R55" s="4" t="s">
        <v>48</v>
      </c>
      <c r="S55" s="4" t="s">
        <v>49</v>
      </c>
      <c r="T55" s="4" t="s">
        <v>51</v>
      </c>
      <c r="U55" s="5" t="s">
        <v>16</v>
      </c>
      <c r="V55" s="7"/>
    </row>
    <row r="56" spans="1:22" x14ac:dyDescent="0.3">
      <c r="A56" s="6"/>
      <c r="F56" s="6" t="s">
        <v>44</v>
      </c>
      <c r="G56">
        <v>1446.85</v>
      </c>
      <c r="H56">
        <v>2</v>
      </c>
      <c r="I56">
        <v>1.28</v>
      </c>
      <c r="J56">
        <v>200</v>
      </c>
      <c r="K56">
        <v>2.38</v>
      </c>
      <c r="L56">
        <f>1+6*J56/(J56+2000)+K56</f>
        <v>3.9254545454545453</v>
      </c>
      <c r="M56">
        <v>0.85</v>
      </c>
      <c r="N56">
        <v>2.2200000000000002</v>
      </c>
      <c r="O56">
        <f>1+M56*N56</f>
        <v>2.887</v>
      </c>
      <c r="P56">
        <v>1.1499999999999999</v>
      </c>
      <c r="Q56">
        <v>1.2</v>
      </c>
      <c r="R56">
        <v>0.6</v>
      </c>
      <c r="S56">
        <f>G56*H56*I56*L56*O56*P56*Q56*R56</f>
        <v>34756.060733111386</v>
      </c>
      <c r="T56">
        <v>2</v>
      </c>
      <c r="U56" s="7">
        <f>T58*T56</f>
        <v>84979.147621208598</v>
      </c>
      <c r="V56" s="7"/>
    </row>
    <row r="57" spans="1:22" x14ac:dyDescent="0.3">
      <c r="A57" s="6"/>
      <c r="F57" s="6" t="s">
        <v>45</v>
      </c>
      <c r="G57">
        <v>1446.85</v>
      </c>
      <c r="H57">
        <v>2</v>
      </c>
      <c r="I57">
        <v>1.28</v>
      </c>
      <c r="J57">
        <v>0</v>
      </c>
      <c r="K57">
        <v>1.9</v>
      </c>
      <c r="L57">
        <f t="shared" ref="L57:L59" si="21">1+6*J57/(J57+2000)+K57</f>
        <v>2.9</v>
      </c>
      <c r="M57">
        <v>0.5</v>
      </c>
      <c r="N57">
        <v>1.5</v>
      </c>
      <c r="O57">
        <f t="shared" ref="O57:O59" si="22">1+M57*N57</f>
        <v>1.75</v>
      </c>
      <c r="P57">
        <v>0.9</v>
      </c>
      <c r="Q57">
        <v>1</v>
      </c>
      <c r="R57">
        <v>0.3</v>
      </c>
      <c r="S57">
        <f t="shared" ref="S57:S59" si="23">G57*H57*I57*L57*O57*P57*Q57*R57</f>
        <v>5075.3183039999994</v>
      </c>
      <c r="T57" t="s">
        <v>15</v>
      </c>
      <c r="U57" s="7"/>
      <c r="V57" s="7"/>
    </row>
    <row r="58" spans="1:22" x14ac:dyDescent="0.3">
      <c r="A58" s="6"/>
      <c r="F58" s="6" t="s">
        <v>46</v>
      </c>
      <c r="G58">
        <v>1446.85</v>
      </c>
      <c r="H58">
        <v>2</v>
      </c>
      <c r="I58">
        <v>1.28</v>
      </c>
      <c r="J58">
        <v>20</v>
      </c>
      <c r="K58">
        <v>1.3</v>
      </c>
      <c r="L58">
        <f t="shared" si="21"/>
        <v>2.3594059405940593</v>
      </c>
      <c r="M58">
        <v>0.93</v>
      </c>
      <c r="N58">
        <v>2.2999999999999998</v>
      </c>
      <c r="O58">
        <f t="shared" si="22"/>
        <v>3.1389999999999998</v>
      </c>
      <c r="P58">
        <v>1.1499999999999999</v>
      </c>
      <c r="Q58">
        <v>1</v>
      </c>
      <c r="R58">
        <v>0.05</v>
      </c>
      <c r="S58">
        <f t="shared" si="23"/>
        <v>1577.3399494929104</v>
      </c>
      <c r="T58">
        <f>SUM(S56:S59)</f>
        <v>42489.573810604299</v>
      </c>
      <c r="U58" s="7"/>
      <c r="V58" s="7"/>
    </row>
    <row r="59" spans="1:22" x14ac:dyDescent="0.3">
      <c r="A59" s="6"/>
      <c r="F59" s="6" t="s">
        <v>47</v>
      </c>
      <c r="G59">
        <v>1446.85</v>
      </c>
      <c r="H59">
        <v>2</v>
      </c>
      <c r="I59">
        <v>1.28</v>
      </c>
      <c r="J59">
        <v>0</v>
      </c>
      <c r="K59">
        <v>1.9</v>
      </c>
      <c r="L59">
        <f t="shared" si="21"/>
        <v>2.9</v>
      </c>
      <c r="M59">
        <v>0.5</v>
      </c>
      <c r="N59">
        <v>1.5</v>
      </c>
      <c r="O59">
        <f t="shared" si="22"/>
        <v>1.75</v>
      </c>
      <c r="P59">
        <v>1.1499999999999999</v>
      </c>
      <c r="Q59">
        <v>1</v>
      </c>
      <c r="R59">
        <v>0.05</v>
      </c>
      <c r="S59">
        <f t="shared" si="23"/>
        <v>1080.854824</v>
      </c>
      <c r="U59" s="7"/>
      <c r="V59" s="7"/>
    </row>
    <row r="60" spans="1:22" x14ac:dyDescent="0.3">
      <c r="A60" s="6"/>
      <c r="F60" s="6"/>
      <c r="U60" s="7"/>
      <c r="V60" s="7"/>
    </row>
    <row r="61" spans="1:22" x14ac:dyDescent="0.3">
      <c r="A61" s="6"/>
      <c r="F61" s="6"/>
      <c r="G61" t="s">
        <v>42</v>
      </c>
      <c r="H61" t="s">
        <v>43</v>
      </c>
      <c r="I61" t="s">
        <v>6</v>
      </c>
      <c r="J61" t="s">
        <v>2</v>
      </c>
      <c r="K61" t="s">
        <v>18</v>
      </c>
      <c r="L61" t="s">
        <v>9</v>
      </c>
      <c r="M61" t="s">
        <v>0</v>
      </c>
      <c r="N61" t="s">
        <v>11</v>
      </c>
      <c r="O61" t="s">
        <v>12</v>
      </c>
      <c r="P61" t="s">
        <v>13</v>
      </c>
      <c r="Q61" t="s">
        <v>14</v>
      </c>
      <c r="R61" t="s">
        <v>48</v>
      </c>
      <c r="S61" t="s">
        <v>49</v>
      </c>
      <c r="T61" t="s">
        <v>51</v>
      </c>
      <c r="U61" s="7" t="s">
        <v>16</v>
      </c>
      <c r="V61" s="7"/>
    </row>
    <row r="62" spans="1:22" x14ac:dyDescent="0.3">
      <c r="A62" s="6"/>
      <c r="F62" s="6" t="s">
        <v>44</v>
      </c>
      <c r="G62">
        <v>1446.85</v>
      </c>
      <c r="H62">
        <v>2</v>
      </c>
      <c r="I62">
        <v>1.28</v>
      </c>
      <c r="J62">
        <v>200</v>
      </c>
      <c r="K62">
        <v>2.38</v>
      </c>
      <c r="L62">
        <f>1+6*J62/(J62+2000)+K62</f>
        <v>3.9254545454545453</v>
      </c>
      <c r="M62">
        <v>0.85</v>
      </c>
      <c r="N62">
        <v>2.2200000000000002</v>
      </c>
      <c r="O62">
        <f>1+M62*N62</f>
        <v>2.887</v>
      </c>
      <c r="P62">
        <v>0.9</v>
      </c>
      <c r="Q62">
        <v>1.2</v>
      </c>
      <c r="R62">
        <v>0.6</v>
      </c>
      <c r="S62">
        <f>G62*H62*I62*L62*O62*P62*Q62*R62</f>
        <v>27200.395356348043</v>
      </c>
      <c r="T62">
        <v>2</v>
      </c>
      <c r="U62" s="7">
        <f>T64*T62</f>
        <v>68712.080009641504</v>
      </c>
      <c r="V62" s="7"/>
    </row>
    <row r="63" spans="1:22" x14ac:dyDescent="0.3">
      <c r="A63" s="6"/>
      <c r="F63" s="6" t="s">
        <v>45</v>
      </c>
      <c r="G63">
        <v>1446.85</v>
      </c>
      <c r="H63">
        <v>2</v>
      </c>
      <c r="I63">
        <v>1.28</v>
      </c>
      <c r="J63">
        <v>0</v>
      </c>
      <c r="K63">
        <v>1.9</v>
      </c>
      <c r="L63">
        <f t="shared" ref="L63:L65" si="24">1+6*J63/(J63+2000)+K63</f>
        <v>2.9</v>
      </c>
      <c r="M63">
        <v>0.5</v>
      </c>
      <c r="N63">
        <v>1.5</v>
      </c>
      <c r="O63">
        <f t="shared" ref="O63:O65" si="25">1+M63*N63</f>
        <v>1.75</v>
      </c>
      <c r="P63">
        <v>0.9</v>
      </c>
      <c r="Q63">
        <v>1</v>
      </c>
      <c r="R63">
        <v>0.3</v>
      </c>
      <c r="S63">
        <f t="shared" ref="S63:S65" si="26">G63*H63*I63*L63*O63*P63*Q63*R63</f>
        <v>5075.3183039999994</v>
      </c>
      <c r="T63" t="s">
        <v>15</v>
      </c>
      <c r="U63" s="7"/>
      <c r="V63" s="7"/>
    </row>
    <row r="64" spans="1:22" x14ac:dyDescent="0.3">
      <c r="A64" s="6"/>
      <c r="F64" s="6" t="s">
        <v>46</v>
      </c>
      <c r="G64">
        <v>1446.85</v>
      </c>
      <c r="H64">
        <v>2</v>
      </c>
      <c r="I64">
        <v>1.28</v>
      </c>
      <c r="J64">
        <v>20</v>
      </c>
      <c r="K64">
        <v>1.3</v>
      </c>
      <c r="L64">
        <f t="shared" si="24"/>
        <v>2.3594059405940593</v>
      </c>
      <c r="M64">
        <v>0.93</v>
      </c>
      <c r="N64">
        <v>2.2999999999999998</v>
      </c>
      <c r="O64">
        <f t="shared" si="25"/>
        <v>3.1389999999999998</v>
      </c>
      <c r="P64">
        <v>0.9</v>
      </c>
      <c r="Q64">
        <v>1</v>
      </c>
      <c r="R64">
        <v>0.05</v>
      </c>
      <c r="S64">
        <f t="shared" si="26"/>
        <v>1234.4399604727125</v>
      </c>
      <c r="T64">
        <f>SUM(S62:S65)</f>
        <v>34356.040004820752</v>
      </c>
      <c r="U64" s="7"/>
      <c r="V64" s="7"/>
    </row>
    <row r="65" spans="1:22" ht="14.5" thickBot="1" x14ac:dyDescent="0.35">
      <c r="A65" s="6"/>
      <c r="F65" s="8" t="s">
        <v>47</v>
      </c>
      <c r="G65" s="9">
        <v>1446.85</v>
      </c>
      <c r="H65" s="9">
        <v>2</v>
      </c>
      <c r="I65" s="9">
        <v>1.28</v>
      </c>
      <c r="J65" s="9">
        <v>0</v>
      </c>
      <c r="K65">
        <v>1.9</v>
      </c>
      <c r="L65" s="9">
        <f t="shared" si="24"/>
        <v>2.9</v>
      </c>
      <c r="M65">
        <v>0.5</v>
      </c>
      <c r="N65" s="9">
        <v>1.5</v>
      </c>
      <c r="O65" s="9">
        <f t="shared" si="25"/>
        <v>1.75</v>
      </c>
      <c r="P65" s="9">
        <v>0.9</v>
      </c>
      <c r="Q65" s="9">
        <v>1</v>
      </c>
      <c r="R65" s="9">
        <v>0.05</v>
      </c>
      <c r="S65" s="9">
        <f t="shared" si="26"/>
        <v>845.88638400000002</v>
      </c>
      <c r="T65" s="9"/>
      <c r="U65" s="10"/>
      <c r="V65" s="7"/>
    </row>
    <row r="66" spans="1:22" ht="14.5" thickBot="1" x14ac:dyDescent="0.35">
      <c r="A66" s="6"/>
      <c r="F66" s="23" t="s">
        <v>54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7"/>
    </row>
    <row r="67" spans="1:22" x14ac:dyDescent="0.3">
      <c r="A67" s="6"/>
      <c r="F67" s="3"/>
      <c r="G67" s="4" t="s">
        <v>42</v>
      </c>
      <c r="H67" s="4" t="s">
        <v>52</v>
      </c>
      <c r="I67" s="4" t="s">
        <v>6</v>
      </c>
      <c r="J67" s="4" t="s">
        <v>2</v>
      </c>
      <c r="K67" s="4" t="s">
        <v>18</v>
      </c>
      <c r="L67" s="4" t="s">
        <v>9</v>
      </c>
      <c r="M67" s="4" t="s">
        <v>0</v>
      </c>
      <c r="N67" s="4" t="s">
        <v>11</v>
      </c>
      <c r="O67" s="4" t="s">
        <v>12</v>
      </c>
      <c r="P67" s="4" t="s">
        <v>13</v>
      </c>
      <c r="Q67" s="4" t="s">
        <v>14</v>
      </c>
      <c r="R67" s="4" t="s">
        <v>48</v>
      </c>
      <c r="S67" s="4" t="s">
        <v>49</v>
      </c>
      <c r="T67" s="4" t="s">
        <v>51</v>
      </c>
      <c r="U67" s="5" t="s">
        <v>16</v>
      </c>
      <c r="V67" s="7"/>
    </row>
    <row r="68" spans="1:22" x14ac:dyDescent="0.3">
      <c r="A68" s="6"/>
      <c r="F68" s="6" t="s">
        <v>44</v>
      </c>
      <c r="G68">
        <v>1446.85</v>
      </c>
      <c r="H68">
        <v>0.75</v>
      </c>
      <c r="I68">
        <v>1.28</v>
      </c>
      <c r="J68">
        <v>0</v>
      </c>
      <c r="K68">
        <v>1.9</v>
      </c>
      <c r="L68">
        <f t="shared" ref="L68" si="27">1+6*J68/(J68+2000)+K68</f>
        <v>2.9</v>
      </c>
      <c r="M68">
        <v>0.5</v>
      </c>
      <c r="N68">
        <v>1.5</v>
      </c>
      <c r="O68">
        <f t="shared" ref="O68" si="28">1+M68*N68</f>
        <v>1.75</v>
      </c>
      <c r="P68">
        <v>0.9</v>
      </c>
      <c r="Q68">
        <v>1</v>
      </c>
      <c r="R68">
        <v>0.6</v>
      </c>
      <c r="S68">
        <f>G68*H68*I68*L68*O68*P68*Q68*R68</f>
        <v>3806.4887279999994</v>
      </c>
      <c r="T68">
        <v>4</v>
      </c>
      <c r="U68" s="7">
        <f>T70*T68</f>
        <v>45280.292622072899</v>
      </c>
      <c r="V68" s="7"/>
    </row>
    <row r="69" spans="1:22" x14ac:dyDescent="0.3">
      <c r="A69" s="6"/>
      <c r="F69" s="6" t="s">
        <v>45</v>
      </c>
      <c r="G69">
        <v>1446.85</v>
      </c>
      <c r="H69">
        <v>0.75</v>
      </c>
      <c r="I69">
        <v>1.28</v>
      </c>
      <c r="J69">
        <v>200</v>
      </c>
      <c r="K69">
        <v>2.38</v>
      </c>
      <c r="L69">
        <f>1+6*J69/(J69+2000)+K69</f>
        <v>3.9254545454545453</v>
      </c>
      <c r="M69">
        <v>0.85</v>
      </c>
      <c r="N69">
        <v>2.2200000000000002</v>
      </c>
      <c r="O69">
        <f>1+M69*N69</f>
        <v>2.887</v>
      </c>
      <c r="P69">
        <v>1.1499999999999999</v>
      </c>
      <c r="Q69">
        <v>1.2</v>
      </c>
      <c r="R69">
        <v>0.3</v>
      </c>
      <c r="S69">
        <f t="shared" ref="S69:S71" si="29">G69*H69*I69*L69*O69*P69*Q69*R69</f>
        <v>6516.761387458384</v>
      </c>
      <c r="T69" t="s">
        <v>15</v>
      </c>
      <c r="U69" s="7"/>
      <c r="V69" s="7"/>
    </row>
    <row r="70" spans="1:22" x14ac:dyDescent="0.3">
      <c r="A70" s="6"/>
      <c r="F70" s="6" t="s">
        <v>46</v>
      </c>
      <c r="G70">
        <v>1446.85</v>
      </c>
      <c r="H70">
        <v>0.75</v>
      </c>
      <c r="I70">
        <v>1.28</v>
      </c>
      <c r="J70">
        <v>20</v>
      </c>
      <c r="K70">
        <v>1.3</v>
      </c>
      <c r="L70">
        <f t="shared" ref="L70:L71" si="30">1+6*J70/(J70+2000)+K70</f>
        <v>2.3594059405940593</v>
      </c>
      <c r="M70">
        <v>0.93</v>
      </c>
      <c r="N70">
        <v>2.2999999999999998</v>
      </c>
      <c r="O70">
        <f t="shared" ref="O70:O71" si="31">1+M70*N70</f>
        <v>3.1389999999999998</v>
      </c>
      <c r="P70">
        <v>1.1499999999999999</v>
      </c>
      <c r="Q70">
        <v>1</v>
      </c>
      <c r="R70">
        <v>0.05</v>
      </c>
      <c r="S70">
        <f t="shared" si="29"/>
        <v>591.50248105984144</v>
      </c>
      <c r="T70">
        <f>SUM(S68:S71)</f>
        <v>11320.073155518225</v>
      </c>
      <c r="U70" s="7"/>
      <c r="V70" s="7"/>
    </row>
    <row r="71" spans="1:22" x14ac:dyDescent="0.3">
      <c r="A71" s="6"/>
      <c r="F71" s="6" t="s">
        <v>47</v>
      </c>
      <c r="G71">
        <v>1446.85</v>
      </c>
      <c r="H71">
        <v>0.75</v>
      </c>
      <c r="I71">
        <v>1.28</v>
      </c>
      <c r="J71">
        <v>0</v>
      </c>
      <c r="K71">
        <v>1.9</v>
      </c>
      <c r="L71">
        <f t="shared" si="30"/>
        <v>2.9</v>
      </c>
      <c r="M71">
        <v>0.5</v>
      </c>
      <c r="N71">
        <v>1.5</v>
      </c>
      <c r="O71">
        <f t="shared" si="31"/>
        <v>1.75</v>
      </c>
      <c r="P71">
        <v>1.1499999999999999</v>
      </c>
      <c r="Q71">
        <v>1</v>
      </c>
      <c r="R71">
        <v>0.05</v>
      </c>
      <c r="S71">
        <f t="shared" si="29"/>
        <v>405.32055899999995</v>
      </c>
      <c r="U71" s="7"/>
      <c r="V71" s="7"/>
    </row>
    <row r="72" spans="1:22" x14ac:dyDescent="0.3">
      <c r="A72" s="6"/>
      <c r="F72" s="6"/>
      <c r="U72" s="7"/>
      <c r="V72" s="7"/>
    </row>
    <row r="73" spans="1:22" x14ac:dyDescent="0.3">
      <c r="A73" s="6"/>
      <c r="F73" s="6"/>
      <c r="G73" t="s">
        <v>42</v>
      </c>
      <c r="H73" t="s">
        <v>52</v>
      </c>
      <c r="I73" t="s">
        <v>6</v>
      </c>
      <c r="J73" t="s">
        <v>2</v>
      </c>
      <c r="K73" t="s">
        <v>18</v>
      </c>
      <c r="L73" t="s">
        <v>9</v>
      </c>
      <c r="M73" t="s">
        <v>0</v>
      </c>
      <c r="N73" t="s">
        <v>11</v>
      </c>
      <c r="O73" t="s">
        <v>12</v>
      </c>
      <c r="P73" t="s">
        <v>13</v>
      </c>
      <c r="Q73" t="s">
        <v>14</v>
      </c>
      <c r="R73" t="s">
        <v>48</v>
      </c>
      <c r="S73" t="s">
        <v>49</v>
      </c>
      <c r="T73" t="s">
        <v>51</v>
      </c>
      <c r="U73" s="7" t="s">
        <v>16</v>
      </c>
      <c r="V73" s="7"/>
    </row>
    <row r="74" spans="1:22" x14ac:dyDescent="0.3">
      <c r="A74" s="6"/>
      <c r="F74" s="6" t="s">
        <v>44</v>
      </c>
      <c r="G74">
        <v>1446.85</v>
      </c>
      <c r="H74">
        <v>0.75</v>
      </c>
      <c r="I74">
        <v>1.28</v>
      </c>
      <c r="J74">
        <v>0</v>
      </c>
      <c r="K74">
        <v>1.9</v>
      </c>
      <c r="L74">
        <f t="shared" ref="L74" si="32">1+6*J74/(J74+2000)+K74</f>
        <v>2.9</v>
      </c>
      <c r="M74">
        <v>0.5</v>
      </c>
      <c r="N74">
        <v>1.5</v>
      </c>
      <c r="O74">
        <f t="shared" ref="O74" si="33">1+M74*N74</f>
        <v>1.75</v>
      </c>
      <c r="P74">
        <v>0.9</v>
      </c>
      <c r="Q74">
        <v>1</v>
      </c>
      <c r="R74">
        <v>0.6</v>
      </c>
      <c r="S74">
        <f>G74*H74*I74*L74*O74*P74*Q74*R74</f>
        <v>3806.4887279999994</v>
      </c>
      <c r="T74">
        <v>2</v>
      </c>
      <c r="U74" s="7">
        <f>T76*T74</f>
        <v>19806.771794750195</v>
      </c>
      <c r="V74" s="7"/>
    </row>
    <row r="75" spans="1:22" x14ac:dyDescent="0.3">
      <c r="A75" s="6"/>
      <c r="F75" s="6" t="s">
        <v>45</v>
      </c>
      <c r="G75">
        <v>1446.85</v>
      </c>
      <c r="H75">
        <v>0.75</v>
      </c>
      <c r="I75">
        <v>1.28</v>
      </c>
      <c r="J75">
        <v>200</v>
      </c>
      <c r="K75">
        <v>2.38</v>
      </c>
      <c r="L75">
        <f>1+6*J75/(J75+2000)+K75</f>
        <v>3.9254545454545453</v>
      </c>
      <c r="M75">
        <v>0.85</v>
      </c>
      <c r="N75">
        <v>2.2200000000000002</v>
      </c>
      <c r="O75">
        <f>1+M75*N75</f>
        <v>2.887</v>
      </c>
      <c r="P75">
        <v>0.9</v>
      </c>
      <c r="Q75">
        <v>1.2</v>
      </c>
      <c r="R75">
        <v>0.3</v>
      </c>
      <c r="S75">
        <f t="shared" ref="S75:S77" si="34">G75*H75*I75*L75*O75*P75*Q75*R75</f>
        <v>5100.0741293152578</v>
      </c>
      <c r="T75" t="s">
        <v>15</v>
      </c>
      <c r="U75" s="7"/>
      <c r="V75" s="7"/>
    </row>
    <row r="76" spans="1:22" x14ac:dyDescent="0.3">
      <c r="A76" s="6"/>
      <c r="F76" s="6" t="s">
        <v>46</v>
      </c>
      <c r="G76">
        <v>1446.85</v>
      </c>
      <c r="H76">
        <v>0.75</v>
      </c>
      <c r="I76">
        <v>1.28</v>
      </c>
      <c r="J76">
        <v>20</v>
      </c>
      <c r="K76">
        <v>1.3</v>
      </c>
      <c r="L76">
        <f t="shared" ref="L76:L77" si="35">1+6*J76/(J76+2000)+K76</f>
        <v>2.3594059405940593</v>
      </c>
      <c r="M76">
        <v>0.93</v>
      </c>
      <c r="N76">
        <v>2.2999999999999998</v>
      </c>
      <c r="O76">
        <f t="shared" ref="O76:O77" si="36">1+M76*N76</f>
        <v>3.1389999999999998</v>
      </c>
      <c r="P76">
        <v>1.1499999999999999</v>
      </c>
      <c r="Q76">
        <v>1</v>
      </c>
      <c r="R76">
        <v>0.05</v>
      </c>
      <c r="S76">
        <f t="shared" si="34"/>
        <v>591.50248105984144</v>
      </c>
      <c r="T76">
        <f>SUM(S74:S77)</f>
        <v>9903.3858973750976</v>
      </c>
      <c r="U76" s="7"/>
      <c r="V76" s="7"/>
    </row>
    <row r="77" spans="1:22" ht="14.5" thickBot="1" x14ac:dyDescent="0.35">
      <c r="A77" s="8"/>
      <c r="B77" s="9"/>
      <c r="C77" s="9"/>
      <c r="D77" s="9"/>
      <c r="E77" s="9"/>
      <c r="F77" s="8" t="s">
        <v>47</v>
      </c>
      <c r="G77" s="9">
        <v>1446.85</v>
      </c>
      <c r="H77" s="9">
        <v>0.75</v>
      </c>
      <c r="I77" s="9">
        <v>1.28</v>
      </c>
      <c r="J77" s="9">
        <v>0</v>
      </c>
      <c r="K77" s="9">
        <v>1.9</v>
      </c>
      <c r="L77" s="9">
        <f t="shared" si="35"/>
        <v>2.9</v>
      </c>
      <c r="M77" s="9">
        <v>0.5</v>
      </c>
      <c r="N77" s="9">
        <v>1.5</v>
      </c>
      <c r="O77" s="9">
        <f t="shared" si="36"/>
        <v>1.75</v>
      </c>
      <c r="P77" s="9">
        <v>1.1499999999999999</v>
      </c>
      <c r="Q77" s="9">
        <v>1</v>
      </c>
      <c r="R77" s="9">
        <v>0.05</v>
      </c>
      <c r="S77" s="9">
        <f t="shared" si="34"/>
        <v>405.32055899999995</v>
      </c>
      <c r="T77" s="9"/>
      <c r="U77" s="10"/>
      <c r="V77" s="10"/>
    </row>
    <row r="89" spans="1:22" ht="14.5" thickBot="1" x14ac:dyDescent="0.35"/>
    <row r="90" spans="1:22" x14ac:dyDescent="0.3">
      <c r="A90" s="15" t="s">
        <v>69</v>
      </c>
      <c r="B90" s="16"/>
      <c r="C90" s="16"/>
      <c r="D90" s="17"/>
      <c r="E90" s="4"/>
      <c r="F90" s="4" t="s">
        <v>4</v>
      </c>
      <c r="G90" s="4" t="s">
        <v>1</v>
      </c>
      <c r="H90" s="4" t="s">
        <v>5</v>
      </c>
      <c r="I90" s="4" t="s">
        <v>6</v>
      </c>
      <c r="J90" s="4" t="s">
        <v>7</v>
      </c>
      <c r="K90" s="4" t="s">
        <v>8</v>
      </c>
      <c r="L90" s="4" t="s">
        <v>2</v>
      </c>
      <c r="M90" s="4" t="s">
        <v>18</v>
      </c>
      <c r="N90" s="4" t="s">
        <v>9</v>
      </c>
      <c r="O90" s="4" t="s">
        <v>10</v>
      </c>
      <c r="P90" s="4" t="s">
        <v>0</v>
      </c>
      <c r="Q90" s="4" t="s">
        <v>11</v>
      </c>
      <c r="R90" s="4" t="s">
        <v>12</v>
      </c>
      <c r="S90" s="4" t="s">
        <v>13</v>
      </c>
      <c r="T90" s="4" t="s">
        <v>14</v>
      </c>
      <c r="U90" s="4" t="s">
        <v>15</v>
      </c>
      <c r="V90" s="5" t="s">
        <v>16</v>
      </c>
    </row>
    <row r="91" spans="1:22" x14ac:dyDescent="0.3">
      <c r="A91" s="18" t="s">
        <v>27</v>
      </c>
      <c r="B91" s="1" t="s">
        <v>25</v>
      </c>
      <c r="C91" s="1" t="s">
        <v>26</v>
      </c>
      <c r="D91" s="1" t="s">
        <v>28</v>
      </c>
      <c r="F91" t="s">
        <v>17</v>
      </c>
      <c r="G91">
        <f>3199+488+203</f>
        <v>3890</v>
      </c>
      <c r="H91">
        <v>2.9355000000000002</v>
      </c>
      <c r="I91">
        <v>1.28</v>
      </c>
      <c r="J91">
        <v>1</v>
      </c>
      <c r="K91">
        <f>G91*H91*I91*J91</f>
        <v>14616.441600000002</v>
      </c>
      <c r="L91">
        <v>200</v>
      </c>
      <c r="M91">
        <v>2.68</v>
      </c>
      <c r="N91">
        <f>1+6*L91/(L91+2000)+M91</f>
        <v>4.2254545454545456</v>
      </c>
      <c r="O91">
        <v>0</v>
      </c>
      <c r="P91">
        <v>0.85</v>
      </c>
      <c r="Q91">
        <v>2.62</v>
      </c>
      <c r="R91">
        <f>1+P91*Q91</f>
        <v>3.2269999999999999</v>
      </c>
      <c r="S91">
        <v>1.1499999999999999</v>
      </c>
      <c r="T91">
        <v>1.2</v>
      </c>
      <c r="U91">
        <f>(K91*N91+O91)*R91*S91*T91</f>
        <v>275038.27892434102</v>
      </c>
      <c r="V91" s="7">
        <f>SUM(U91:U117)</f>
        <v>5929938.1220687898</v>
      </c>
    </row>
    <row r="92" spans="1:22" x14ac:dyDescent="0.3">
      <c r="A92" s="18"/>
      <c r="B92" s="1">
        <f>B94+B96+B98</f>
        <v>7485229.2933050143</v>
      </c>
      <c r="C92" s="1">
        <f>B92/D92</f>
        <v>348150.19968860532</v>
      </c>
      <c r="D92" s="1">
        <v>21.5</v>
      </c>
      <c r="F92" t="s">
        <v>58</v>
      </c>
      <c r="G92">
        <f>3199+488+203</f>
        <v>3890</v>
      </c>
      <c r="H92">
        <v>1.875</v>
      </c>
      <c r="I92">
        <v>1.28</v>
      </c>
      <c r="J92">
        <v>1</v>
      </c>
      <c r="K92">
        <f t="shared" ref="K92:K117" si="37">G92*H92*I92*J92</f>
        <v>9336</v>
      </c>
      <c r="L92">
        <v>200</v>
      </c>
      <c r="M92">
        <v>2.68</v>
      </c>
      <c r="N92">
        <f t="shared" ref="N92:N117" si="38">1+6*L92/(L92+2000)+M92</f>
        <v>4.2254545454545456</v>
      </c>
      <c r="O92">
        <v>0</v>
      </c>
      <c r="P92">
        <v>0.85</v>
      </c>
      <c r="Q92">
        <v>2.2200000000000002</v>
      </c>
      <c r="R92">
        <f t="shared" ref="R92:R117" si="39">1+P92*Q92</f>
        <v>2.887</v>
      </c>
      <c r="S92">
        <v>1.1499999999999999</v>
      </c>
      <c r="T92">
        <v>1.2</v>
      </c>
      <c r="U92">
        <f t="shared" ref="U92:U117" si="40">(K92*N92+O92)*R92*S92*T92</f>
        <v>157166.55997789089</v>
      </c>
      <c r="V92" s="7"/>
    </row>
    <row r="93" spans="1:22" x14ac:dyDescent="0.3">
      <c r="A93" s="18"/>
      <c r="B93" s="1" t="s">
        <v>29</v>
      </c>
      <c r="C93" s="1" t="s">
        <v>30</v>
      </c>
      <c r="D93" s="1"/>
      <c r="F93" t="s">
        <v>17</v>
      </c>
      <c r="G93">
        <f t="shared" ref="G93:G105" si="41">3199+488+203</f>
        <v>3890</v>
      </c>
      <c r="H93">
        <v>2.9355000000000002</v>
      </c>
      <c r="I93">
        <v>1.28</v>
      </c>
      <c r="J93">
        <v>1</v>
      </c>
      <c r="K93">
        <f t="shared" si="37"/>
        <v>14616.441600000002</v>
      </c>
      <c r="L93">
        <v>200</v>
      </c>
      <c r="M93">
        <v>2.68</v>
      </c>
      <c r="N93">
        <f t="shared" si="38"/>
        <v>4.2254545454545456</v>
      </c>
      <c r="O93">
        <v>0</v>
      </c>
      <c r="P93">
        <v>0.85</v>
      </c>
      <c r="Q93">
        <v>2.82</v>
      </c>
      <c r="R93">
        <f t="shared" si="39"/>
        <v>3.3969999999999998</v>
      </c>
      <c r="S93">
        <v>1.1499999999999999</v>
      </c>
      <c r="T93">
        <v>1.2</v>
      </c>
      <c r="U93">
        <f t="shared" si="40"/>
        <v>289527.43523581856</v>
      </c>
      <c r="V93" s="7"/>
    </row>
    <row r="94" spans="1:22" x14ac:dyDescent="0.3">
      <c r="A94" s="18"/>
      <c r="B94" s="1">
        <f>V91+T120</f>
        <v>6418275.8107877299</v>
      </c>
      <c r="C94" s="2">
        <f>B94/B92</f>
        <v>0.85745881111863931</v>
      </c>
      <c r="D94" s="1"/>
      <c r="F94" t="s">
        <v>17</v>
      </c>
      <c r="G94">
        <f t="shared" si="41"/>
        <v>3890</v>
      </c>
      <c r="H94">
        <v>2.9355000000000002</v>
      </c>
      <c r="I94">
        <v>1.28</v>
      </c>
      <c r="J94">
        <v>1</v>
      </c>
      <c r="K94">
        <f t="shared" si="37"/>
        <v>14616.441600000002</v>
      </c>
      <c r="L94">
        <v>200</v>
      </c>
      <c r="M94">
        <v>2.68</v>
      </c>
      <c r="N94">
        <f t="shared" si="38"/>
        <v>4.2254545454545456</v>
      </c>
      <c r="O94">
        <v>0</v>
      </c>
      <c r="P94">
        <v>0.85</v>
      </c>
      <c r="Q94">
        <v>3.02</v>
      </c>
      <c r="R94">
        <f t="shared" si="39"/>
        <v>3.5669999999999997</v>
      </c>
      <c r="S94">
        <v>1.1499999999999999</v>
      </c>
      <c r="T94">
        <v>1.2</v>
      </c>
      <c r="U94">
        <f t="shared" si="40"/>
        <v>304016.59154729609</v>
      </c>
      <c r="V94" s="7"/>
    </row>
    <row r="95" spans="1:22" x14ac:dyDescent="0.3">
      <c r="A95" s="18"/>
      <c r="B95" s="1" t="s">
        <v>31</v>
      </c>
      <c r="C95" s="2" t="s">
        <v>30</v>
      </c>
      <c r="D95" s="1"/>
      <c r="F95" t="s">
        <v>61</v>
      </c>
      <c r="G95">
        <f t="shared" si="41"/>
        <v>3890</v>
      </c>
      <c r="H95">
        <v>1.2</v>
      </c>
      <c r="I95">
        <v>1.28</v>
      </c>
      <c r="J95">
        <v>1</v>
      </c>
      <c r="K95">
        <f t="shared" si="37"/>
        <v>5975.04</v>
      </c>
      <c r="L95">
        <v>200</v>
      </c>
      <c r="M95">
        <v>2.68</v>
      </c>
      <c r="N95">
        <f t="shared" si="38"/>
        <v>4.2254545454545456</v>
      </c>
      <c r="O95">
        <v>0</v>
      </c>
      <c r="P95">
        <v>0.85</v>
      </c>
      <c r="Q95">
        <v>3.02</v>
      </c>
      <c r="R95">
        <f t="shared" si="39"/>
        <v>3.5669999999999997</v>
      </c>
      <c r="S95">
        <v>1.1499999999999999</v>
      </c>
      <c r="T95">
        <v>1.2</v>
      </c>
      <c r="U95">
        <f t="shared" si="40"/>
        <v>124278.62710160288</v>
      </c>
      <c r="V95" s="7"/>
    </row>
    <row r="96" spans="1:22" x14ac:dyDescent="0.3">
      <c r="A96" s="18"/>
      <c r="B96" s="1">
        <f>V128+T141</f>
        <v>848175.19046961179</v>
      </c>
      <c r="C96" s="2">
        <f>B96/B92</f>
        <v>0.11331318751026664</v>
      </c>
      <c r="D96" s="1"/>
      <c r="F96" t="s">
        <v>17</v>
      </c>
      <c r="G96">
        <f t="shared" si="41"/>
        <v>3890</v>
      </c>
      <c r="H96">
        <v>2.9355000000000002</v>
      </c>
      <c r="I96">
        <v>1.28</v>
      </c>
      <c r="J96">
        <v>1</v>
      </c>
      <c r="K96">
        <f t="shared" si="37"/>
        <v>14616.441600000002</v>
      </c>
      <c r="L96">
        <v>200</v>
      </c>
      <c r="M96">
        <v>2.68</v>
      </c>
      <c r="N96">
        <f t="shared" si="38"/>
        <v>4.2254545454545456</v>
      </c>
      <c r="O96">
        <v>0</v>
      </c>
      <c r="P96">
        <v>0.85</v>
      </c>
      <c r="Q96">
        <v>3.22</v>
      </c>
      <c r="R96">
        <f t="shared" si="39"/>
        <v>3.7370000000000001</v>
      </c>
      <c r="S96">
        <v>1.1499999999999999</v>
      </c>
      <c r="T96">
        <v>1.2</v>
      </c>
      <c r="U96">
        <f t="shared" si="40"/>
        <v>318505.74785877363</v>
      </c>
      <c r="V96" s="7"/>
    </row>
    <row r="97" spans="1:22" x14ac:dyDescent="0.3">
      <c r="A97" s="18"/>
      <c r="B97" s="1" t="s">
        <v>50</v>
      </c>
      <c r="C97" s="2" t="s">
        <v>30</v>
      </c>
      <c r="D97" s="1"/>
      <c r="F97" t="s">
        <v>58</v>
      </c>
      <c r="G97">
        <f t="shared" si="41"/>
        <v>3890</v>
      </c>
      <c r="H97">
        <v>1.875</v>
      </c>
      <c r="I97">
        <v>1.28</v>
      </c>
      <c r="J97">
        <v>1</v>
      </c>
      <c r="K97">
        <f t="shared" si="37"/>
        <v>9336</v>
      </c>
      <c r="L97">
        <v>200</v>
      </c>
      <c r="M97">
        <v>2.68</v>
      </c>
      <c r="N97">
        <f t="shared" si="38"/>
        <v>4.2254545454545456</v>
      </c>
      <c r="O97">
        <v>0</v>
      </c>
      <c r="P97">
        <v>0.85</v>
      </c>
      <c r="Q97">
        <v>2.2200000000000002</v>
      </c>
      <c r="R97">
        <f t="shared" si="39"/>
        <v>2.887</v>
      </c>
      <c r="S97">
        <v>1.1499999999999999</v>
      </c>
      <c r="T97">
        <v>1.2</v>
      </c>
      <c r="U97">
        <f t="shared" si="40"/>
        <v>157166.55997789089</v>
      </c>
      <c r="V97" s="7"/>
    </row>
    <row r="98" spans="1:22" x14ac:dyDescent="0.3">
      <c r="A98" s="18"/>
      <c r="B98" s="1">
        <f>U146+U152+U158+U164</f>
        <v>218778.2920476732</v>
      </c>
      <c r="C98" s="2">
        <f>B98/B92</f>
        <v>2.9228001371094169E-2</v>
      </c>
      <c r="D98" s="1"/>
      <c r="F98" t="s">
        <v>61</v>
      </c>
      <c r="G98">
        <f t="shared" si="41"/>
        <v>3890</v>
      </c>
      <c r="H98">
        <v>1.2</v>
      </c>
      <c r="I98">
        <v>1.28</v>
      </c>
      <c r="J98">
        <v>1</v>
      </c>
      <c r="K98">
        <f t="shared" si="37"/>
        <v>5975.04</v>
      </c>
      <c r="L98">
        <v>200</v>
      </c>
      <c r="M98">
        <v>2.68</v>
      </c>
      <c r="N98">
        <f t="shared" si="38"/>
        <v>4.2254545454545456</v>
      </c>
      <c r="O98">
        <v>0</v>
      </c>
      <c r="P98">
        <v>0.85</v>
      </c>
      <c r="Q98">
        <v>3.22</v>
      </c>
      <c r="R98">
        <f t="shared" si="39"/>
        <v>3.7370000000000001</v>
      </c>
      <c r="S98">
        <v>1.1499999999999999</v>
      </c>
      <c r="T98">
        <v>1.2</v>
      </c>
      <c r="U98">
        <f t="shared" si="40"/>
        <v>130201.63428054108</v>
      </c>
      <c r="V98" s="7"/>
    </row>
    <row r="99" spans="1:22" x14ac:dyDescent="0.3">
      <c r="A99" s="6"/>
      <c r="F99" t="s">
        <v>17</v>
      </c>
      <c r="G99">
        <f t="shared" si="41"/>
        <v>3890</v>
      </c>
      <c r="H99">
        <v>2.9355000000000002</v>
      </c>
      <c r="I99">
        <v>1.28</v>
      </c>
      <c r="J99">
        <v>1</v>
      </c>
      <c r="K99">
        <f t="shared" si="37"/>
        <v>14616.441600000002</v>
      </c>
      <c r="L99">
        <v>200</v>
      </c>
      <c r="M99">
        <v>2.68</v>
      </c>
      <c r="N99">
        <f t="shared" si="38"/>
        <v>4.2254545454545456</v>
      </c>
      <c r="O99">
        <v>0</v>
      </c>
      <c r="P99">
        <v>0.85</v>
      </c>
      <c r="Q99">
        <v>3.22</v>
      </c>
      <c r="R99">
        <f t="shared" si="39"/>
        <v>3.7370000000000001</v>
      </c>
      <c r="S99">
        <v>1.1499999999999999</v>
      </c>
      <c r="T99">
        <v>1.2</v>
      </c>
      <c r="U99">
        <f t="shared" si="40"/>
        <v>318505.74785877363</v>
      </c>
      <c r="V99" s="7"/>
    </row>
    <row r="100" spans="1:22" x14ac:dyDescent="0.3">
      <c r="A100" s="12"/>
      <c r="C100" s="13"/>
      <c r="F100" t="s">
        <v>61</v>
      </c>
      <c r="G100">
        <f t="shared" si="41"/>
        <v>3890</v>
      </c>
      <c r="H100">
        <v>1.2</v>
      </c>
      <c r="I100">
        <v>1.28</v>
      </c>
      <c r="J100">
        <v>1</v>
      </c>
      <c r="K100">
        <f t="shared" si="37"/>
        <v>5975.04</v>
      </c>
      <c r="L100">
        <v>200</v>
      </c>
      <c r="M100">
        <v>2.68</v>
      </c>
      <c r="N100">
        <f t="shared" si="38"/>
        <v>4.2254545454545456</v>
      </c>
      <c r="O100">
        <v>0</v>
      </c>
      <c r="P100">
        <v>0.85</v>
      </c>
      <c r="Q100">
        <v>3.22</v>
      </c>
      <c r="R100">
        <f t="shared" si="39"/>
        <v>3.7370000000000001</v>
      </c>
      <c r="S100">
        <v>1.1499999999999999</v>
      </c>
      <c r="T100">
        <v>1.2</v>
      </c>
      <c r="U100">
        <f t="shared" si="40"/>
        <v>130201.63428054108</v>
      </c>
      <c r="V100" s="7"/>
    </row>
    <row r="101" spans="1:22" x14ac:dyDescent="0.3">
      <c r="A101" s="12"/>
      <c r="C101" s="13"/>
      <c r="F101" t="s">
        <v>17</v>
      </c>
      <c r="G101">
        <f t="shared" si="41"/>
        <v>3890</v>
      </c>
      <c r="H101">
        <v>2.9355000000000002</v>
      </c>
      <c r="I101">
        <v>1.28</v>
      </c>
      <c r="J101">
        <v>1</v>
      </c>
      <c r="K101">
        <f t="shared" si="37"/>
        <v>14616.441600000002</v>
      </c>
      <c r="L101">
        <v>200</v>
      </c>
      <c r="M101">
        <v>2.68</v>
      </c>
      <c r="N101">
        <f t="shared" si="38"/>
        <v>4.2254545454545456</v>
      </c>
      <c r="O101">
        <v>0</v>
      </c>
      <c r="P101">
        <v>0.85</v>
      </c>
      <c r="Q101">
        <v>3.22</v>
      </c>
      <c r="R101">
        <f t="shared" si="39"/>
        <v>3.7370000000000001</v>
      </c>
      <c r="S101">
        <v>1.1499999999999999</v>
      </c>
      <c r="T101">
        <v>1.2</v>
      </c>
      <c r="U101">
        <f t="shared" si="40"/>
        <v>318505.74785877363</v>
      </c>
      <c r="V101" s="7"/>
    </row>
    <row r="102" spans="1:22" x14ac:dyDescent="0.3">
      <c r="A102" s="14"/>
      <c r="C102" s="13"/>
      <c r="F102" t="s">
        <v>61</v>
      </c>
      <c r="G102">
        <f t="shared" si="41"/>
        <v>3890</v>
      </c>
      <c r="H102">
        <v>1.2</v>
      </c>
      <c r="I102">
        <v>1.28</v>
      </c>
      <c r="J102">
        <v>1</v>
      </c>
      <c r="K102">
        <f t="shared" si="37"/>
        <v>5975.04</v>
      </c>
      <c r="L102">
        <v>200</v>
      </c>
      <c r="M102">
        <v>2.68</v>
      </c>
      <c r="N102">
        <f t="shared" si="38"/>
        <v>4.2254545454545456</v>
      </c>
      <c r="O102">
        <v>0</v>
      </c>
      <c r="P102">
        <v>0.85</v>
      </c>
      <c r="Q102">
        <v>3.22</v>
      </c>
      <c r="R102">
        <f t="shared" si="39"/>
        <v>3.7370000000000001</v>
      </c>
      <c r="S102">
        <v>1.1499999999999999</v>
      </c>
      <c r="T102">
        <v>1.2</v>
      </c>
      <c r="U102">
        <f t="shared" si="40"/>
        <v>130201.63428054108</v>
      </c>
      <c r="V102" s="7"/>
    </row>
    <row r="103" spans="1:22" x14ac:dyDescent="0.3">
      <c r="A103" s="6"/>
      <c r="F103" t="s">
        <v>20</v>
      </c>
      <c r="G103">
        <f t="shared" si="41"/>
        <v>3890</v>
      </c>
      <c r="H103">
        <v>7.0294999999999996</v>
      </c>
      <c r="I103">
        <v>1.28</v>
      </c>
      <c r="J103">
        <v>2</v>
      </c>
      <c r="K103">
        <f t="shared" si="37"/>
        <v>70002.572799999994</v>
      </c>
      <c r="L103">
        <v>200</v>
      </c>
      <c r="M103">
        <v>2.68</v>
      </c>
      <c r="N103">
        <f t="shared" si="38"/>
        <v>4.2254545454545456</v>
      </c>
      <c r="O103">
        <v>0</v>
      </c>
      <c r="P103">
        <v>0.85</v>
      </c>
      <c r="Q103">
        <v>2.2200000000000002</v>
      </c>
      <c r="R103">
        <f t="shared" si="39"/>
        <v>2.887</v>
      </c>
      <c r="S103">
        <v>1.1499999999999999</v>
      </c>
      <c r="T103">
        <v>1.2</v>
      </c>
      <c r="U103">
        <f t="shared" si="40"/>
        <v>1178455.8222555562</v>
      </c>
      <c r="V103" s="7"/>
    </row>
    <row r="104" spans="1:22" x14ac:dyDescent="0.3">
      <c r="A104" s="6"/>
      <c r="F104" t="s">
        <v>19</v>
      </c>
      <c r="G104">
        <f t="shared" si="41"/>
        <v>3890</v>
      </c>
      <c r="H104">
        <v>0.58320000000000005</v>
      </c>
      <c r="I104">
        <v>1.28</v>
      </c>
      <c r="J104">
        <v>4</v>
      </c>
      <c r="K104">
        <f t="shared" si="37"/>
        <v>11615.477760000002</v>
      </c>
      <c r="L104">
        <v>200</v>
      </c>
      <c r="M104">
        <v>2.68</v>
      </c>
      <c r="N104">
        <f t="shared" si="38"/>
        <v>4.2254545454545456</v>
      </c>
      <c r="O104">
        <v>0</v>
      </c>
      <c r="P104">
        <v>0.85</v>
      </c>
      <c r="Q104">
        <v>2.2200000000000002</v>
      </c>
      <c r="R104">
        <f t="shared" si="39"/>
        <v>2.887</v>
      </c>
      <c r="S104">
        <v>1.1499999999999999</v>
      </c>
      <c r="T104">
        <v>1.2</v>
      </c>
      <c r="U104">
        <f t="shared" si="40"/>
        <v>195540.34726209278</v>
      </c>
      <c r="V104" s="7"/>
    </row>
    <row r="105" spans="1:22" x14ac:dyDescent="0.3">
      <c r="A105" s="6"/>
      <c r="F105" t="s">
        <v>58</v>
      </c>
      <c r="G105">
        <f t="shared" si="41"/>
        <v>3890</v>
      </c>
      <c r="H105">
        <v>1.875</v>
      </c>
      <c r="I105">
        <v>1.28</v>
      </c>
      <c r="J105">
        <v>1</v>
      </c>
      <c r="K105">
        <f t="shared" si="37"/>
        <v>9336</v>
      </c>
      <c r="L105">
        <v>200</v>
      </c>
      <c r="M105">
        <v>2.68</v>
      </c>
      <c r="N105">
        <f t="shared" si="38"/>
        <v>4.2254545454545456</v>
      </c>
      <c r="O105">
        <v>0</v>
      </c>
      <c r="P105">
        <v>0.85</v>
      </c>
      <c r="Q105">
        <v>2.2200000000000002</v>
      </c>
      <c r="R105">
        <f t="shared" si="39"/>
        <v>2.887</v>
      </c>
      <c r="S105">
        <v>1.1499999999999999</v>
      </c>
      <c r="T105">
        <v>1.2</v>
      </c>
      <c r="U105">
        <f t="shared" si="40"/>
        <v>157166.55997789089</v>
      </c>
      <c r="V105" s="7"/>
    </row>
    <row r="106" spans="1:22" x14ac:dyDescent="0.3">
      <c r="A106" s="6"/>
      <c r="F106" t="s">
        <v>17</v>
      </c>
      <c r="G106">
        <f>3199+488+203</f>
        <v>3890</v>
      </c>
      <c r="H106">
        <v>2.9355000000000002</v>
      </c>
      <c r="I106">
        <v>1.28</v>
      </c>
      <c r="J106">
        <v>1</v>
      </c>
      <c r="K106">
        <f t="shared" si="37"/>
        <v>14616.441600000002</v>
      </c>
      <c r="L106">
        <v>200</v>
      </c>
      <c r="M106">
        <v>2.68</v>
      </c>
      <c r="N106">
        <f t="shared" si="38"/>
        <v>4.2254545454545456</v>
      </c>
      <c r="O106">
        <v>0</v>
      </c>
      <c r="P106">
        <v>0.85</v>
      </c>
      <c r="Q106">
        <v>2.62</v>
      </c>
      <c r="R106">
        <f t="shared" si="39"/>
        <v>3.2269999999999999</v>
      </c>
      <c r="S106">
        <v>0.9</v>
      </c>
      <c r="T106">
        <v>1.2</v>
      </c>
      <c r="U106">
        <f t="shared" si="40"/>
        <v>215247.34872339736</v>
      </c>
      <c r="V106" s="7"/>
    </row>
    <row r="107" spans="1:22" x14ac:dyDescent="0.3">
      <c r="A107" s="6"/>
      <c r="F107" t="s">
        <v>17</v>
      </c>
      <c r="G107">
        <f>3199+203</f>
        <v>3402</v>
      </c>
      <c r="H107">
        <v>2.9355000000000002</v>
      </c>
      <c r="I107">
        <v>1.28</v>
      </c>
      <c r="J107">
        <v>1</v>
      </c>
      <c r="K107">
        <f t="shared" si="37"/>
        <v>12782.810880000001</v>
      </c>
      <c r="L107">
        <v>200</v>
      </c>
      <c r="M107">
        <v>2.68</v>
      </c>
      <c r="N107">
        <f t="shared" si="38"/>
        <v>4.2254545454545456</v>
      </c>
      <c r="O107">
        <v>0</v>
      </c>
      <c r="P107">
        <v>0.85</v>
      </c>
      <c r="Q107">
        <v>2.82</v>
      </c>
      <c r="R107">
        <f t="shared" si="39"/>
        <v>3.3969999999999998</v>
      </c>
      <c r="S107">
        <v>0.9</v>
      </c>
      <c r="T107">
        <v>1.2</v>
      </c>
      <c r="U107">
        <f t="shared" si="40"/>
        <v>198161.41750419789</v>
      </c>
      <c r="V107" s="7"/>
    </row>
    <row r="108" spans="1:22" x14ac:dyDescent="0.3">
      <c r="A108" s="6"/>
      <c r="F108" t="s">
        <v>17</v>
      </c>
      <c r="G108">
        <f t="shared" ref="G108:G112" si="42">3199+203</f>
        <v>3402</v>
      </c>
      <c r="H108">
        <v>2.9355000000000002</v>
      </c>
      <c r="I108">
        <v>1.28</v>
      </c>
      <c r="J108">
        <v>1</v>
      </c>
      <c r="K108">
        <f t="shared" si="37"/>
        <v>12782.810880000001</v>
      </c>
      <c r="L108">
        <v>200</v>
      </c>
      <c r="M108">
        <v>2.68</v>
      </c>
      <c r="N108">
        <f t="shared" si="38"/>
        <v>4.2254545454545456</v>
      </c>
      <c r="O108">
        <v>0</v>
      </c>
      <c r="P108">
        <v>0.85</v>
      </c>
      <c r="Q108">
        <v>3.02</v>
      </c>
      <c r="R108">
        <f t="shared" si="39"/>
        <v>3.5669999999999997</v>
      </c>
      <c r="S108">
        <v>0.9</v>
      </c>
      <c r="T108">
        <v>1.2</v>
      </c>
      <c r="U108">
        <f t="shared" si="40"/>
        <v>208078.23851559433</v>
      </c>
      <c r="V108" s="7"/>
    </row>
    <row r="109" spans="1:22" x14ac:dyDescent="0.3">
      <c r="A109" s="6"/>
      <c r="F109" t="s">
        <v>58</v>
      </c>
      <c r="G109">
        <f t="shared" si="42"/>
        <v>3402</v>
      </c>
      <c r="H109">
        <v>1.875</v>
      </c>
      <c r="I109">
        <v>1.28</v>
      </c>
      <c r="J109">
        <v>1</v>
      </c>
      <c r="K109">
        <f t="shared" si="37"/>
        <v>8164.8</v>
      </c>
      <c r="L109">
        <v>200</v>
      </c>
      <c r="M109">
        <v>2.68</v>
      </c>
      <c r="N109">
        <f t="shared" si="38"/>
        <v>4.2254545454545456</v>
      </c>
      <c r="O109">
        <v>0</v>
      </c>
      <c r="P109">
        <v>0.85</v>
      </c>
      <c r="Q109">
        <v>2.2200000000000002</v>
      </c>
      <c r="R109">
        <f t="shared" si="39"/>
        <v>2.887</v>
      </c>
      <c r="S109">
        <v>0.9</v>
      </c>
      <c r="T109">
        <v>1.2</v>
      </c>
      <c r="U109">
        <f t="shared" si="40"/>
        <v>107569.59278871273</v>
      </c>
      <c r="V109" s="7"/>
    </row>
    <row r="110" spans="1:22" x14ac:dyDescent="0.3">
      <c r="A110" s="6"/>
      <c r="F110" t="s">
        <v>61</v>
      </c>
      <c r="G110">
        <f t="shared" si="42"/>
        <v>3402</v>
      </c>
      <c r="H110">
        <v>1.2</v>
      </c>
      <c r="I110">
        <v>1.28</v>
      </c>
      <c r="J110">
        <v>1</v>
      </c>
      <c r="K110">
        <f t="shared" si="37"/>
        <v>5225.4719999999998</v>
      </c>
      <c r="L110">
        <v>200</v>
      </c>
      <c r="M110">
        <v>2.68</v>
      </c>
      <c r="N110">
        <f t="shared" si="38"/>
        <v>4.2254545454545456</v>
      </c>
      <c r="O110">
        <v>0</v>
      </c>
      <c r="P110">
        <v>0.85</v>
      </c>
      <c r="Q110">
        <v>3.22</v>
      </c>
      <c r="R110">
        <f t="shared" si="39"/>
        <v>3.7370000000000001</v>
      </c>
      <c r="S110">
        <v>0.9</v>
      </c>
      <c r="T110">
        <v>1.2</v>
      </c>
      <c r="U110">
        <f t="shared" si="40"/>
        <v>89113.974257328882</v>
      </c>
      <c r="V110" s="7"/>
    </row>
    <row r="111" spans="1:22" x14ac:dyDescent="0.3">
      <c r="A111" s="6"/>
      <c r="F111" t="s">
        <v>17</v>
      </c>
      <c r="G111">
        <f t="shared" si="42"/>
        <v>3402</v>
      </c>
      <c r="H111">
        <v>2.9355000000000002</v>
      </c>
      <c r="I111">
        <v>1.28</v>
      </c>
      <c r="J111">
        <v>1</v>
      </c>
      <c r="K111">
        <f t="shared" si="37"/>
        <v>12782.810880000001</v>
      </c>
      <c r="L111">
        <v>200</v>
      </c>
      <c r="M111">
        <v>2.68</v>
      </c>
      <c r="N111">
        <f t="shared" si="38"/>
        <v>4.2254545454545456</v>
      </c>
      <c r="O111">
        <v>0</v>
      </c>
      <c r="P111">
        <v>0.85</v>
      </c>
      <c r="Q111">
        <v>3.22</v>
      </c>
      <c r="R111">
        <f t="shared" si="39"/>
        <v>3.7370000000000001</v>
      </c>
      <c r="S111">
        <v>0.9</v>
      </c>
      <c r="T111">
        <v>1.2</v>
      </c>
      <c r="U111">
        <f t="shared" si="40"/>
        <v>217995.05952699075</v>
      </c>
      <c r="V111" s="7"/>
    </row>
    <row r="112" spans="1:22" x14ac:dyDescent="0.3">
      <c r="A112" s="6"/>
      <c r="F112" t="s">
        <v>61</v>
      </c>
      <c r="G112">
        <f t="shared" si="42"/>
        <v>3402</v>
      </c>
      <c r="H112">
        <v>1.2</v>
      </c>
      <c r="I112">
        <v>1.28</v>
      </c>
      <c r="J112">
        <v>1</v>
      </c>
      <c r="K112">
        <f t="shared" si="37"/>
        <v>5225.4719999999998</v>
      </c>
      <c r="L112">
        <v>200</v>
      </c>
      <c r="M112">
        <v>2.68</v>
      </c>
      <c r="N112">
        <f t="shared" si="38"/>
        <v>4.2254545454545456</v>
      </c>
      <c r="O112">
        <v>0</v>
      </c>
      <c r="P112">
        <v>0.85</v>
      </c>
      <c r="Q112">
        <v>3.22</v>
      </c>
      <c r="R112">
        <f t="shared" si="39"/>
        <v>3.7370000000000001</v>
      </c>
      <c r="S112">
        <v>0.9</v>
      </c>
      <c r="T112">
        <v>1.2</v>
      </c>
      <c r="U112">
        <f t="shared" si="40"/>
        <v>89113.974257328882</v>
      </c>
      <c r="V112" s="7"/>
    </row>
    <row r="113" spans="1:22" x14ac:dyDescent="0.3">
      <c r="A113" s="6"/>
      <c r="F113" t="s">
        <v>17</v>
      </c>
      <c r="G113">
        <f>3199</f>
        <v>3199</v>
      </c>
      <c r="H113">
        <v>2.9355000000000002</v>
      </c>
      <c r="I113">
        <v>1.28</v>
      </c>
      <c r="J113">
        <v>1</v>
      </c>
      <c r="K113">
        <f t="shared" si="37"/>
        <v>12020.050560000001</v>
      </c>
      <c r="L113">
        <v>200</v>
      </c>
      <c r="M113">
        <v>2.1800000000000002</v>
      </c>
      <c r="N113">
        <f t="shared" si="38"/>
        <v>3.7254545454545456</v>
      </c>
      <c r="O113">
        <v>0</v>
      </c>
      <c r="P113">
        <v>0.85</v>
      </c>
      <c r="Q113">
        <v>3.22</v>
      </c>
      <c r="R113">
        <f t="shared" si="39"/>
        <v>3.7370000000000001</v>
      </c>
      <c r="S113">
        <v>0.9</v>
      </c>
      <c r="T113">
        <v>1.2</v>
      </c>
      <c r="U113">
        <f t="shared" si="40"/>
        <v>180730.90224713451</v>
      </c>
      <c r="V113" s="7"/>
    </row>
    <row r="114" spans="1:22" x14ac:dyDescent="0.3">
      <c r="A114" s="6"/>
      <c r="F114" t="s">
        <v>61</v>
      </c>
      <c r="G114">
        <f>3199</f>
        <v>3199</v>
      </c>
      <c r="H114">
        <v>1.2</v>
      </c>
      <c r="I114">
        <v>1.28</v>
      </c>
      <c r="J114">
        <v>1</v>
      </c>
      <c r="K114">
        <f t="shared" si="37"/>
        <v>4913.6639999999998</v>
      </c>
      <c r="L114">
        <v>200</v>
      </c>
      <c r="M114">
        <v>2.1800000000000002</v>
      </c>
      <c r="N114">
        <f t="shared" si="38"/>
        <v>3.7254545454545456</v>
      </c>
      <c r="O114">
        <v>0</v>
      </c>
      <c r="P114">
        <v>0.85</v>
      </c>
      <c r="Q114">
        <v>3.22</v>
      </c>
      <c r="R114">
        <f t="shared" si="39"/>
        <v>3.7370000000000001</v>
      </c>
      <c r="S114">
        <v>0.9</v>
      </c>
      <c r="T114">
        <v>1.2</v>
      </c>
      <c r="U114">
        <f t="shared" si="40"/>
        <v>73880.798057081032</v>
      </c>
      <c r="V114" s="7"/>
    </row>
    <row r="115" spans="1:22" x14ac:dyDescent="0.3">
      <c r="A115" s="6"/>
      <c r="F115" t="s">
        <v>17</v>
      </c>
      <c r="G115">
        <f>3199</f>
        <v>3199</v>
      </c>
      <c r="H115">
        <v>2.9355000000000002</v>
      </c>
      <c r="I115">
        <v>1.28</v>
      </c>
      <c r="J115">
        <v>1</v>
      </c>
      <c r="K115">
        <f t="shared" si="37"/>
        <v>12020.050560000001</v>
      </c>
      <c r="L115">
        <v>200</v>
      </c>
      <c r="M115">
        <v>2.1800000000000002</v>
      </c>
      <c r="N115">
        <f t="shared" si="38"/>
        <v>3.7254545454545456</v>
      </c>
      <c r="O115">
        <v>0</v>
      </c>
      <c r="P115">
        <v>0.85</v>
      </c>
      <c r="Q115">
        <v>3.22</v>
      </c>
      <c r="R115">
        <f t="shared" si="39"/>
        <v>3.7370000000000001</v>
      </c>
      <c r="S115">
        <v>0.9</v>
      </c>
      <c r="T115">
        <v>1.2</v>
      </c>
      <c r="U115">
        <f t="shared" si="40"/>
        <v>180730.90224713451</v>
      </c>
      <c r="V115" s="7"/>
    </row>
    <row r="116" spans="1:22" x14ac:dyDescent="0.3">
      <c r="A116" s="6"/>
      <c r="F116" t="s">
        <v>61</v>
      </c>
      <c r="G116">
        <f>3199</f>
        <v>3199</v>
      </c>
      <c r="H116">
        <v>1.2</v>
      </c>
      <c r="I116">
        <v>1.28</v>
      </c>
      <c r="J116">
        <v>1</v>
      </c>
      <c r="K116">
        <f t="shared" si="37"/>
        <v>4913.6639999999998</v>
      </c>
      <c r="L116">
        <v>200</v>
      </c>
      <c r="M116">
        <v>2.1800000000000002</v>
      </c>
      <c r="N116">
        <f t="shared" si="38"/>
        <v>3.7254545454545456</v>
      </c>
      <c r="O116">
        <v>0</v>
      </c>
      <c r="P116">
        <v>0.85</v>
      </c>
      <c r="Q116">
        <v>3.22</v>
      </c>
      <c r="R116">
        <f t="shared" si="39"/>
        <v>3.7370000000000001</v>
      </c>
      <c r="S116">
        <v>0.9</v>
      </c>
      <c r="T116">
        <v>1.2</v>
      </c>
      <c r="U116">
        <f t="shared" si="40"/>
        <v>73880.798057081032</v>
      </c>
      <c r="V116" s="7"/>
    </row>
    <row r="117" spans="1:22" x14ac:dyDescent="0.3">
      <c r="A117" s="6"/>
      <c r="F117" s="6" t="s">
        <v>19</v>
      </c>
      <c r="G117">
        <f>3199</f>
        <v>3199</v>
      </c>
      <c r="H117">
        <v>0.58320000000000005</v>
      </c>
      <c r="I117">
        <v>1.28</v>
      </c>
      <c r="J117">
        <v>4</v>
      </c>
      <c r="K117">
        <f t="shared" si="37"/>
        <v>9552.1628160000018</v>
      </c>
      <c r="L117">
        <v>200</v>
      </c>
      <c r="M117">
        <v>2.1800000000000002</v>
      </c>
      <c r="N117">
        <f t="shared" si="38"/>
        <v>3.7254545454545456</v>
      </c>
      <c r="O117">
        <v>0</v>
      </c>
      <c r="P117">
        <v>0.85</v>
      </c>
      <c r="Q117">
        <v>2.2200000000000002</v>
      </c>
      <c r="R117">
        <f t="shared" si="39"/>
        <v>2.887</v>
      </c>
      <c r="S117">
        <v>0.9</v>
      </c>
      <c r="T117">
        <v>1.2</v>
      </c>
      <c r="U117">
        <f t="shared" si="40"/>
        <v>110956.18720848313</v>
      </c>
      <c r="V117" s="7"/>
    </row>
    <row r="118" spans="1:22" x14ac:dyDescent="0.3">
      <c r="A118" s="6"/>
      <c r="V118" s="7"/>
    </row>
    <row r="119" spans="1:22" x14ac:dyDescent="0.3">
      <c r="A119" s="6"/>
      <c r="G119" t="s">
        <v>1</v>
      </c>
      <c r="H119" t="s">
        <v>5</v>
      </c>
      <c r="I119" t="s">
        <v>7</v>
      </c>
      <c r="J119" t="s">
        <v>7</v>
      </c>
      <c r="K119" t="s">
        <v>8</v>
      </c>
      <c r="L119" t="s">
        <v>22</v>
      </c>
      <c r="M119" t="s">
        <v>0</v>
      </c>
      <c r="N119" t="s">
        <v>11</v>
      </c>
      <c r="O119" t="s">
        <v>12</v>
      </c>
      <c r="P119" t="s">
        <v>13</v>
      </c>
      <c r="Q119" t="s">
        <v>15</v>
      </c>
      <c r="R119" t="s">
        <v>23</v>
      </c>
      <c r="S119" t="s">
        <v>24</v>
      </c>
      <c r="T119" t="s">
        <v>16</v>
      </c>
      <c r="V119" s="7"/>
    </row>
    <row r="120" spans="1:22" x14ac:dyDescent="0.3">
      <c r="A120" s="6"/>
      <c r="G120">
        <f>3199+488+203</f>
        <v>3890</v>
      </c>
      <c r="H120">
        <v>1.03</v>
      </c>
      <c r="I120">
        <v>1</v>
      </c>
      <c r="J120">
        <v>1</v>
      </c>
      <c r="K120">
        <f>G120*H120*I120*J120</f>
        <v>4006.7000000000003</v>
      </c>
      <c r="L120">
        <v>1</v>
      </c>
      <c r="M120">
        <v>0.85</v>
      </c>
      <c r="N120">
        <v>2.2200000000000002</v>
      </c>
      <c r="O120">
        <f>1+M120*N120</f>
        <v>2.887</v>
      </c>
      <c r="P120">
        <v>1.1499999999999999</v>
      </c>
      <c r="Q120">
        <f>K120*L120*O120*P120</f>
        <v>13302.444335</v>
      </c>
      <c r="R120">
        <v>18</v>
      </c>
      <c r="S120">
        <f>Q120*R120</f>
        <v>239443.99803000002</v>
      </c>
      <c r="T120">
        <f>SUM(S120:S126)</f>
        <v>488337.68871894013</v>
      </c>
      <c r="V120" s="7"/>
    </row>
    <row r="121" spans="1:22" x14ac:dyDescent="0.3">
      <c r="A121" s="6"/>
      <c r="G121">
        <f t="shared" ref="G121:G122" si="43">3199+488+203</f>
        <v>3890</v>
      </c>
      <c r="H121">
        <v>1.8746</v>
      </c>
      <c r="I121">
        <v>3</v>
      </c>
      <c r="J121">
        <v>1</v>
      </c>
      <c r="K121">
        <f t="shared" ref="K121:K122" si="44">G121*H121*I121*J121</f>
        <v>21876.582000000002</v>
      </c>
      <c r="L121">
        <v>1</v>
      </c>
      <c r="M121">
        <v>0.85</v>
      </c>
      <c r="N121">
        <v>2.2200000000000002</v>
      </c>
      <c r="O121">
        <f t="shared" ref="O121:O122" si="45">1+M121*N121</f>
        <v>2.887</v>
      </c>
      <c r="P121">
        <v>1.1499999999999999</v>
      </c>
      <c r="Q121">
        <f t="shared" ref="Q121:Q122" si="46">K121*L121*O121*P121</f>
        <v>72631.346069100007</v>
      </c>
      <c r="R121">
        <v>1</v>
      </c>
      <c r="S121">
        <f t="shared" ref="S121:S122" si="47">Q121*R121</f>
        <v>72631.346069100007</v>
      </c>
      <c r="V121" s="7"/>
    </row>
    <row r="122" spans="1:22" x14ac:dyDescent="0.3">
      <c r="A122" s="6"/>
      <c r="G122">
        <f t="shared" si="43"/>
        <v>3890</v>
      </c>
      <c r="H122">
        <v>0.58320000000000005</v>
      </c>
      <c r="I122">
        <v>1</v>
      </c>
      <c r="J122">
        <v>1</v>
      </c>
      <c r="K122">
        <f t="shared" si="44"/>
        <v>2268.6480000000001</v>
      </c>
      <c r="L122">
        <v>1</v>
      </c>
      <c r="M122">
        <v>0.85</v>
      </c>
      <c r="N122">
        <v>2.2200000000000002</v>
      </c>
      <c r="O122">
        <f t="shared" si="45"/>
        <v>2.887</v>
      </c>
      <c r="P122">
        <v>1.1499999999999999</v>
      </c>
      <c r="Q122">
        <f t="shared" si="46"/>
        <v>7532.0247923999996</v>
      </c>
      <c r="R122">
        <v>1</v>
      </c>
      <c r="S122">
        <f t="shared" si="47"/>
        <v>7532.0247923999996</v>
      </c>
      <c r="V122" s="7"/>
    </row>
    <row r="123" spans="1:22" x14ac:dyDescent="0.3">
      <c r="A123" s="6"/>
      <c r="G123">
        <f>G107</f>
        <v>3402</v>
      </c>
      <c r="H123">
        <v>1.03</v>
      </c>
      <c r="I123">
        <v>1</v>
      </c>
      <c r="J123">
        <v>1</v>
      </c>
      <c r="K123">
        <f>G123*H123*I123*J123</f>
        <v>3504.06</v>
      </c>
      <c r="L123">
        <v>1</v>
      </c>
      <c r="M123">
        <v>0.85</v>
      </c>
      <c r="N123">
        <v>2.2200000000000002</v>
      </c>
      <c r="O123">
        <f>1+M123*N123</f>
        <v>2.887</v>
      </c>
      <c r="P123">
        <v>0.9</v>
      </c>
      <c r="Q123">
        <f>K123*L123*O123*P123</f>
        <v>9104.5990980000006</v>
      </c>
      <c r="R123">
        <v>18</v>
      </c>
      <c r="S123">
        <f>Q123*R123</f>
        <v>163882.78376400002</v>
      </c>
      <c r="V123" s="7"/>
    </row>
    <row r="124" spans="1:22" x14ac:dyDescent="0.3">
      <c r="A124" s="6"/>
      <c r="G124">
        <f>G117</f>
        <v>3199</v>
      </c>
      <c r="H124">
        <v>0.58320000000000005</v>
      </c>
      <c r="I124">
        <v>1</v>
      </c>
      <c r="J124">
        <v>1</v>
      </c>
      <c r="K124">
        <f t="shared" ref="K124" si="48">G124*H124*I124*J124</f>
        <v>1865.6568000000002</v>
      </c>
      <c r="L124">
        <v>1</v>
      </c>
      <c r="M124">
        <v>0.85</v>
      </c>
      <c r="N124">
        <v>2.2200000000000002</v>
      </c>
      <c r="O124">
        <f t="shared" ref="O124" si="49">1+M124*N124</f>
        <v>2.887</v>
      </c>
      <c r="P124">
        <v>0.9</v>
      </c>
      <c r="Q124">
        <f t="shared" ref="Q124" si="50">K124*L124*O124*P124</f>
        <v>4847.5360634400004</v>
      </c>
      <c r="R124">
        <v>1</v>
      </c>
      <c r="S124">
        <f t="shared" ref="S124" si="51">Q124*R124</f>
        <v>4847.5360634400004</v>
      </c>
      <c r="V124" s="7"/>
    </row>
    <row r="125" spans="1:22" ht="14.5" thickBot="1" x14ac:dyDescent="0.35">
      <c r="A125" s="6"/>
      <c r="V125" s="7"/>
    </row>
    <row r="126" spans="1:22" x14ac:dyDescent="0.3">
      <c r="A126" s="6"/>
      <c r="F126" s="19" t="s">
        <v>3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1"/>
    </row>
    <row r="127" spans="1:22" x14ac:dyDescent="0.3">
      <c r="A127" s="6"/>
      <c r="F127" s="6" t="s">
        <v>4</v>
      </c>
      <c r="G127" t="s">
        <v>1</v>
      </c>
      <c r="H127" t="s">
        <v>5</v>
      </c>
      <c r="I127" t="s">
        <v>6</v>
      </c>
      <c r="J127" t="s">
        <v>7</v>
      </c>
      <c r="K127" t="s">
        <v>8</v>
      </c>
      <c r="L127" t="s">
        <v>2</v>
      </c>
      <c r="M127" t="s">
        <v>18</v>
      </c>
      <c r="N127" t="s">
        <v>9</v>
      </c>
      <c r="O127" t="s">
        <v>10</v>
      </c>
      <c r="P127" t="s">
        <v>0</v>
      </c>
      <c r="Q127" t="s">
        <v>11</v>
      </c>
      <c r="R127" t="s">
        <v>12</v>
      </c>
      <c r="S127" t="s">
        <v>13</v>
      </c>
      <c r="T127" t="s">
        <v>14</v>
      </c>
      <c r="U127" t="s">
        <v>15</v>
      </c>
      <c r="V127" s="7" t="s">
        <v>16</v>
      </c>
    </row>
    <row r="128" spans="1:22" x14ac:dyDescent="0.3">
      <c r="A128" s="6"/>
      <c r="F128" s="6" t="s">
        <v>32</v>
      </c>
      <c r="G128">
        <v>2604</v>
      </c>
      <c r="H128">
        <v>8.2554999999999996</v>
      </c>
      <c r="I128">
        <v>1.28</v>
      </c>
      <c r="J128">
        <f>16*0.015+1</f>
        <v>1.24</v>
      </c>
      <c r="K128">
        <f>G128*H128*I128*J128</f>
        <v>34120.549478399997</v>
      </c>
      <c r="L128">
        <v>20</v>
      </c>
      <c r="M128">
        <v>1.4</v>
      </c>
      <c r="N128">
        <f>1+6*L128/(L128+2000)+M128</f>
        <v>2.4594059405940594</v>
      </c>
      <c r="O128">
        <v>0</v>
      </c>
      <c r="P128">
        <v>0.93</v>
      </c>
      <c r="Q128">
        <v>2.2999999999999998</v>
      </c>
      <c r="R128">
        <f>1+P128*Q128</f>
        <v>3.1389999999999998</v>
      </c>
      <c r="S128">
        <v>0.9</v>
      </c>
      <c r="T128">
        <v>1</v>
      </c>
      <c r="U128">
        <f>(K128*N128+O128)*R128*S128*T128</f>
        <v>237071.88851412546</v>
      </c>
      <c r="V128" s="7">
        <f>SUM(U128:U138)</f>
        <v>711356.55715608178</v>
      </c>
    </row>
    <row r="129" spans="1:22" x14ac:dyDescent="0.3">
      <c r="A129" s="6"/>
      <c r="F129" s="6"/>
      <c r="G129">
        <v>2604</v>
      </c>
      <c r="H129">
        <v>4.5</v>
      </c>
      <c r="I129">
        <v>2.2799999999999998</v>
      </c>
      <c r="J129">
        <f>16*0.015+1</f>
        <v>1.24</v>
      </c>
      <c r="K129">
        <f>G129*H129*I129*J129</f>
        <v>33129.129599999993</v>
      </c>
      <c r="L129">
        <v>20</v>
      </c>
      <c r="M129">
        <v>1.4</v>
      </c>
      <c r="N129">
        <f>1+6*L129/(L129+2000)+M129</f>
        <v>2.4594059405940594</v>
      </c>
      <c r="O129">
        <v>0</v>
      </c>
      <c r="P129">
        <v>0.93</v>
      </c>
      <c r="Q129">
        <v>2.2999999999999998</v>
      </c>
      <c r="R129">
        <f>1+P129*Q129</f>
        <v>3.1389999999999998</v>
      </c>
      <c r="S129">
        <v>0.9</v>
      </c>
      <c r="T129">
        <v>1</v>
      </c>
      <c r="U129">
        <f>(K129*N129+O129)*R129*S129*T129</f>
        <v>230183.43605729961</v>
      </c>
      <c r="V129" s="7"/>
    </row>
    <row r="130" spans="1:22" x14ac:dyDescent="0.3">
      <c r="A130" s="6"/>
      <c r="F130" s="6" t="s">
        <v>33</v>
      </c>
      <c r="G130">
        <f>189+2604</f>
        <v>2793</v>
      </c>
      <c r="H130">
        <v>0.72950000000000004</v>
      </c>
      <c r="I130">
        <v>1.28</v>
      </c>
      <c r="J130">
        <f>17*0.015+1</f>
        <v>1.2549999999999999</v>
      </c>
      <c r="K130">
        <f t="shared" ref="K130:K138" si="52">G130*H130*I130*J130</f>
        <v>3273.0295584</v>
      </c>
      <c r="L130">
        <v>20</v>
      </c>
      <c r="M130">
        <v>1.6</v>
      </c>
      <c r="N130">
        <f t="shared" ref="N130:N138" si="53">1+6*L130/(L130+2000)+M130</f>
        <v>2.6594059405940595</v>
      </c>
      <c r="O130">
        <v>0</v>
      </c>
      <c r="P130">
        <v>0.93</v>
      </c>
      <c r="Q130">
        <v>2.2999999999999998</v>
      </c>
      <c r="R130">
        <f t="shared" ref="R130:R138" si="54">1+P130*Q130</f>
        <v>3.1389999999999998</v>
      </c>
      <c r="S130">
        <v>0.9</v>
      </c>
      <c r="T130">
        <v>1</v>
      </c>
      <c r="U130">
        <f t="shared" ref="U130:U138" si="55">(K130*N130+O130)*R130*S130*T130</f>
        <v>24590.558191485808</v>
      </c>
      <c r="V130" s="7"/>
    </row>
    <row r="131" spans="1:22" x14ac:dyDescent="0.3">
      <c r="A131" s="6"/>
      <c r="F131" s="6" t="s">
        <v>34</v>
      </c>
      <c r="G131">
        <f t="shared" ref="G131:G137" si="56">189+2604</f>
        <v>2793</v>
      </c>
      <c r="H131">
        <v>0.87239999999999995</v>
      </c>
      <c r="I131">
        <v>1.28</v>
      </c>
      <c r="J131">
        <f t="shared" ref="J131:J137" si="57">17*0.015+1</f>
        <v>1.2549999999999999</v>
      </c>
      <c r="K131">
        <f t="shared" si="52"/>
        <v>3914.175444479999</v>
      </c>
      <c r="L131">
        <v>20</v>
      </c>
      <c r="M131">
        <v>1.3</v>
      </c>
      <c r="N131">
        <f t="shared" si="53"/>
        <v>2.3594059405940593</v>
      </c>
      <c r="O131">
        <v>0</v>
      </c>
      <c r="P131">
        <v>0.93</v>
      </c>
      <c r="Q131">
        <v>2.2999999999999998</v>
      </c>
      <c r="R131">
        <f t="shared" si="54"/>
        <v>3.1389999999999998</v>
      </c>
      <c r="S131">
        <v>1.1499999999999999</v>
      </c>
      <c r="T131">
        <v>1</v>
      </c>
      <c r="U131">
        <f t="shared" si="55"/>
        <v>33337.429685083509</v>
      </c>
      <c r="V131" s="7"/>
    </row>
    <row r="132" spans="1:22" x14ac:dyDescent="0.3">
      <c r="A132" s="6"/>
      <c r="F132" s="6" t="s">
        <v>35</v>
      </c>
      <c r="G132">
        <f t="shared" si="56"/>
        <v>2793</v>
      </c>
      <c r="H132">
        <v>0.72950000000000004</v>
      </c>
      <c r="I132">
        <v>1.28</v>
      </c>
      <c r="J132">
        <f t="shared" si="57"/>
        <v>1.2549999999999999</v>
      </c>
      <c r="K132">
        <f t="shared" si="52"/>
        <v>3273.0295584</v>
      </c>
      <c r="L132">
        <v>20</v>
      </c>
      <c r="M132">
        <v>1.3</v>
      </c>
      <c r="N132">
        <f t="shared" si="53"/>
        <v>2.3594059405940593</v>
      </c>
      <c r="O132">
        <v>0</v>
      </c>
      <c r="P132">
        <v>0.93</v>
      </c>
      <c r="Q132">
        <v>2.2999999999999998</v>
      </c>
      <c r="R132">
        <f t="shared" si="54"/>
        <v>3.1389999999999998</v>
      </c>
      <c r="S132">
        <v>1.1499999999999999</v>
      </c>
      <c r="T132">
        <v>1</v>
      </c>
      <c r="U132">
        <f t="shared" si="55"/>
        <v>27876.725074814789</v>
      </c>
      <c r="V132" s="7"/>
    </row>
    <row r="133" spans="1:22" x14ac:dyDescent="0.3">
      <c r="A133" s="6"/>
      <c r="F133" s="6" t="s">
        <v>36</v>
      </c>
      <c r="G133">
        <f t="shared" si="56"/>
        <v>2793</v>
      </c>
      <c r="H133">
        <v>0.87239999999999995</v>
      </c>
      <c r="I133">
        <v>1.28</v>
      </c>
      <c r="J133">
        <f t="shared" si="57"/>
        <v>1.2549999999999999</v>
      </c>
      <c r="K133">
        <f t="shared" si="52"/>
        <v>3914.175444479999</v>
      </c>
      <c r="L133">
        <v>20</v>
      </c>
      <c r="M133">
        <v>1.3</v>
      </c>
      <c r="N133">
        <f t="shared" si="53"/>
        <v>2.3594059405940593</v>
      </c>
      <c r="O133">
        <v>0</v>
      </c>
      <c r="P133">
        <v>0.93</v>
      </c>
      <c r="Q133">
        <v>2.2999999999999998</v>
      </c>
      <c r="R133">
        <f t="shared" si="54"/>
        <v>3.1389999999999998</v>
      </c>
      <c r="S133">
        <v>1.1499999999999999</v>
      </c>
      <c r="T133">
        <v>1</v>
      </c>
      <c r="U133">
        <f t="shared" si="55"/>
        <v>33337.429685083509</v>
      </c>
      <c r="V133" s="7"/>
    </row>
    <row r="134" spans="1:22" x14ac:dyDescent="0.3">
      <c r="A134" s="6"/>
      <c r="F134" s="6" t="s">
        <v>37</v>
      </c>
      <c r="G134">
        <f t="shared" si="56"/>
        <v>2793</v>
      </c>
      <c r="H134">
        <v>0.72950000000000004</v>
      </c>
      <c r="I134">
        <v>1.28</v>
      </c>
      <c r="J134">
        <f t="shared" si="57"/>
        <v>1.2549999999999999</v>
      </c>
      <c r="K134">
        <f t="shared" si="52"/>
        <v>3273.0295584</v>
      </c>
      <c r="L134">
        <v>20</v>
      </c>
      <c r="M134">
        <v>1.3</v>
      </c>
      <c r="N134">
        <f t="shared" si="53"/>
        <v>2.3594059405940593</v>
      </c>
      <c r="O134">
        <v>0</v>
      </c>
      <c r="P134">
        <v>0.93</v>
      </c>
      <c r="Q134">
        <v>2.2999999999999998</v>
      </c>
      <c r="R134">
        <f t="shared" si="54"/>
        <v>3.1389999999999998</v>
      </c>
      <c r="S134">
        <v>1.1499999999999999</v>
      </c>
      <c r="T134">
        <v>1</v>
      </c>
      <c r="U134">
        <f t="shared" si="55"/>
        <v>27876.725074814789</v>
      </c>
      <c r="V134" s="7"/>
    </row>
    <row r="135" spans="1:22" x14ac:dyDescent="0.3">
      <c r="A135" s="6"/>
      <c r="F135" s="6" t="s">
        <v>38</v>
      </c>
      <c r="G135">
        <f t="shared" si="56"/>
        <v>2793</v>
      </c>
      <c r="H135">
        <v>0.87239999999999995</v>
      </c>
      <c r="I135">
        <v>1.28</v>
      </c>
      <c r="J135">
        <f t="shared" si="57"/>
        <v>1.2549999999999999</v>
      </c>
      <c r="K135">
        <f t="shared" si="52"/>
        <v>3914.175444479999</v>
      </c>
      <c r="L135">
        <v>20</v>
      </c>
      <c r="M135">
        <v>1.3</v>
      </c>
      <c r="N135">
        <f t="shared" si="53"/>
        <v>2.3594059405940593</v>
      </c>
      <c r="O135">
        <v>0</v>
      </c>
      <c r="P135">
        <v>0.93</v>
      </c>
      <c r="Q135">
        <v>2.2999999999999998</v>
      </c>
      <c r="R135">
        <f t="shared" si="54"/>
        <v>3.1389999999999998</v>
      </c>
      <c r="S135">
        <v>1.1499999999999999</v>
      </c>
      <c r="T135">
        <v>1</v>
      </c>
      <c r="U135">
        <f t="shared" si="55"/>
        <v>33337.429685083509</v>
      </c>
      <c r="V135" s="7"/>
    </row>
    <row r="136" spans="1:22" x14ac:dyDescent="0.3">
      <c r="A136" s="6"/>
      <c r="F136" s="6" t="s">
        <v>39</v>
      </c>
      <c r="G136">
        <f t="shared" si="56"/>
        <v>2793</v>
      </c>
      <c r="H136">
        <v>0.72950000000000004</v>
      </c>
      <c r="I136">
        <v>1.28</v>
      </c>
      <c r="J136">
        <f t="shared" si="57"/>
        <v>1.2549999999999999</v>
      </c>
      <c r="K136">
        <f t="shared" si="52"/>
        <v>3273.0295584</v>
      </c>
      <c r="L136">
        <v>20</v>
      </c>
      <c r="M136">
        <v>1.3</v>
      </c>
      <c r="N136">
        <f t="shared" si="53"/>
        <v>2.3594059405940593</v>
      </c>
      <c r="O136">
        <v>0</v>
      </c>
      <c r="P136">
        <v>0.93</v>
      </c>
      <c r="Q136">
        <v>2.2999999999999998</v>
      </c>
      <c r="R136">
        <f t="shared" si="54"/>
        <v>3.1389999999999998</v>
      </c>
      <c r="S136">
        <v>0.9</v>
      </c>
      <c r="T136">
        <v>1</v>
      </c>
      <c r="U136">
        <f t="shared" si="55"/>
        <v>21816.567449855054</v>
      </c>
      <c r="V136" s="7"/>
    </row>
    <row r="137" spans="1:22" x14ac:dyDescent="0.3">
      <c r="A137" s="6"/>
      <c r="F137" s="6" t="s">
        <v>40</v>
      </c>
      <c r="G137">
        <f t="shared" si="56"/>
        <v>2793</v>
      </c>
      <c r="H137">
        <v>0.87239999999999995</v>
      </c>
      <c r="I137">
        <v>1.28</v>
      </c>
      <c r="J137">
        <f t="shared" si="57"/>
        <v>1.2549999999999999</v>
      </c>
      <c r="K137">
        <f t="shared" si="52"/>
        <v>3914.175444479999</v>
      </c>
      <c r="L137">
        <v>20</v>
      </c>
      <c r="M137">
        <v>1.3</v>
      </c>
      <c r="N137">
        <f t="shared" si="53"/>
        <v>2.3594059405940593</v>
      </c>
      <c r="O137">
        <v>0</v>
      </c>
      <c r="P137">
        <v>0.93</v>
      </c>
      <c r="Q137">
        <v>2.2999999999999998</v>
      </c>
      <c r="R137">
        <f t="shared" si="54"/>
        <v>3.1389999999999998</v>
      </c>
      <c r="S137">
        <v>0.9</v>
      </c>
      <c r="T137">
        <v>1</v>
      </c>
      <c r="U137">
        <f t="shared" si="55"/>
        <v>26090.162362239269</v>
      </c>
      <c r="V137" s="7"/>
    </row>
    <row r="138" spans="1:22" x14ac:dyDescent="0.3">
      <c r="A138" s="6"/>
      <c r="F138" s="6" t="s">
        <v>41</v>
      </c>
      <c r="G138">
        <v>2604</v>
      </c>
      <c r="H138">
        <v>0.72950000000000004</v>
      </c>
      <c r="I138">
        <v>1.28</v>
      </c>
      <c r="J138">
        <v>1.24</v>
      </c>
      <c r="K138">
        <f t="shared" si="52"/>
        <v>3015.0736896000003</v>
      </c>
      <c r="L138">
        <v>20</v>
      </c>
      <c r="M138">
        <v>0.8</v>
      </c>
      <c r="N138">
        <f t="shared" si="53"/>
        <v>1.8594059405940595</v>
      </c>
      <c r="O138">
        <v>0</v>
      </c>
      <c r="P138">
        <v>0.93</v>
      </c>
      <c r="Q138">
        <v>2.2999999999999998</v>
      </c>
      <c r="R138">
        <f t="shared" si="54"/>
        <v>3.1389999999999998</v>
      </c>
      <c r="S138">
        <v>0.9</v>
      </c>
      <c r="T138">
        <v>1</v>
      </c>
      <c r="U138">
        <f t="shared" si="55"/>
        <v>15838.205376196307</v>
      </c>
      <c r="V138" s="7"/>
    </row>
    <row r="139" spans="1:22" x14ac:dyDescent="0.3">
      <c r="A139" s="6"/>
      <c r="F139" s="6"/>
      <c r="V139" s="7"/>
    </row>
    <row r="140" spans="1:22" x14ac:dyDescent="0.3">
      <c r="A140" s="6"/>
      <c r="F140" s="6"/>
      <c r="G140" t="s">
        <v>1</v>
      </c>
      <c r="H140" t="s">
        <v>5</v>
      </c>
      <c r="I140" t="s">
        <v>7</v>
      </c>
      <c r="J140" t="s">
        <v>7</v>
      </c>
      <c r="K140" t="s">
        <v>8</v>
      </c>
      <c r="L140" t="s">
        <v>22</v>
      </c>
      <c r="M140" t="s">
        <v>0</v>
      </c>
      <c r="N140" t="s">
        <v>11</v>
      </c>
      <c r="O140" t="s">
        <v>12</v>
      </c>
      <c r="P140" t="s">
        <v>13</v>
      </c>
      <c r="Q140" t="s">
        <v>15</v>
      </c>
      <c r="R140" t="s">
        <v>23</v>
      </c>
      <c r="S140" t="s">
        <v>24</v>
      </c>
      <c r="T140" t="s">
        <v>16</v>
      </c>
      <c r="V140" s="7"/>
    </row>
    <row r="141" spans="1:22" x14ac:dyDescent="0.3">
      <c r="A141" s="6"/>
      <c r="F141" s="6"/>
      <c r="G141">
        <f>G128</f>
        <v>2604</v>
      </c>
      <c r="H141">
        <v>1.9454</v>
      </c>
      <c r="I141">
        <v>1</v>
      </c>
      <c r="J141">
        <v>1</v>
      </c>
      <c r="K141">
        <f>G141*H141*I141*J141</f>
        <v>5065.8216000000002</v>
      </c>
      <c r="L141">
        <v>1</v>
      </c>
      <c r="M141">
        <v>0.93</v>
      </c>
      <c r="N141">
        <v>2.2999999999999998</v>
      </c>
      <c r="O141">
        <f>1+M141*N141</f>
        <v>3.1389999999999998</v>
      </c>
      <c r="P141">
        <v>0.9</v>
      </c>
      <c r="Q141">
        <f>K141*L141*O141*P141</f>
        <v>14311.45260216</v>
      </c>
      <c r="R141">
        <v>1</v>
      </c>
      <c r="S141">
        <f>Q141*R141</f>
        <v>14311.45260216</v>
      </c>
      <c r="T141">
        <f>SUM(S141:S142)</f>
        <v>136818.63331352998</v>
      </c>
      <c r="V141" s="7"/>
    </row>
    <row r="142" spans="1:22" ht="14.5" thickBot="1" x14ac:dyDescent="0.35">
      <c r="A142" s="6"/>
      <c r="F142" s="8"/>
      <c r="G142" s="9">
        <f>G133</f>
        <v>2793</v>
      </c>
      <c r="H142" s="9">
        <v>1.7251000000000001</v>
      </c>
      <c r="I142" s="9">
        <v>1</v>
      </c>
      <c r="J142" s="9">
        <v>1</v>
      </c>
      <c r="K142" s="9">
        <f>G142*H142*I142*J142</f>
        <v>4818.2043000000003</v>
      </c>
      <c r="L142" s="9">
        <v>1</v>
      </c>
      <c r="M142" s="9">
        <v>0.93</v>
      </c>
      <c r="N142" s="9">
        <v>2.2999999999999998</v>
      </c>
      <c r="O142" s="9">
        <f>1+M142*N142</f>
        <v>3.1389999999999998</v>
      </c>
      <c r="P142" s="9">
        <v>0.9</v>
      </c>
      <c r="Q142" s="9">
        <f>K142*L142*O142*P142</f>
        <v>13611.90896793</v>
      </c>
      <c r="R142" s="9">
        <v>9</v>
      </c>
      <c r="S142" s="9">
        <f>Q142*R142</f>
        <v>122507.18071136999</v>
      </c>
      <c r="T142" s="9"/>
      <c r="U142" s="9"/>
      <c r="V142" s="10"/>
    </row>
    <row r="143" spans="1:22" x14ac:dyDescent="0.3">
      <c r="A143" s="6"/>
      <c r="V143" s="7"/>
    </row>
    <row r="144" spans="1:22" ht="14.5" thickBot="1" x14ac:dyDescent="0.35">
      <c r="A144" s="6"/>
      <c r="F144" s="22" t="s">
        <v>53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7"/>
    </row>
    <row r="145" spans="1:22" x14ac:dyDescent="0.3">
      <c r="A145" s="6"/>
      <c r="F145" s="3"/>
      <c r="G145" s="4" t="s">
        <v>42</v>
      </c>
      <c r="H145" s="4" t="s">
        <v>43</v>
      </c>
      <c r="I145" s="4" t="s">
        <v>6</v>
      </c>
      <c r="J145" s="4" t="s">
        <v>2</v>
      </c>
      <c r="K145" s="4" t="s">
        <v>18</v>
      </c>
      <c r="L145" s="4" t="s">
        <v>9</v>
      </c>
      <c r="M145" s="4" t="s">
        <v>0</v>
      </c>
      <c r="N145" s="4" t="s">
        <v>11</v>
      </c>
      <c r="O145" s="4" t="s">
        <v>12</v>
      </c>
      <c r="P145" s="4" t="s">
        <v>13</v>
      </c>
      <c r="Q145" s="4" t="s">
        <v>14</v>
      </c>
      <c r="R145" s="4" t="s">
        <v>48</v>
      </c>
      <c r="S145" s="4" t="s">
        <v>49</v>
      </c>
      <c r="T145" s="4" t="s">
        <v>51</v>
      </c>
      <c r="U145" s="5" t="s">
        <v>16</v>
      </c>
      <c r="V145" s="7"/>
    </row>
    <row r="146" spans="1:22" x14ac:dyDescent="0.3">
      <c r="A146" s="6"/>
      <c r="F146" s="6" t="s">
        <v>44</v>
      </c>
      <c r="G146">
        <v>1446.85</v>
      </c>
      <c r="H146">
        <v>2</v>
      </c>
      <c r="I146">
        <v>1.28</v>
      </c>
      <c r="J146">
        <v>200</v>
      </c>
      <c r="K146">
        <v>2.38</v>
      </c>
      <c r="L146">
        <f>1+6*J146/(J146+2000)+K146</f>
        <v>3.9254545454545453</v>
      </c>
      <c r="M146">
        <v>0.85</v>
      </c>
      <c r="N146">
        <v>2.2200000000000002</v>
      </c>
      <c r="O146">
        <f>1+M146*N146</f>
        <v>2.887</v>
      </c>
      <c r="P146">
        <v>1.1499999999999999</v>
      </c>
      <c r="Q146">
        <v>1.2</v>
      </c>
      <c r="R146">
        <v>0.6</v>
      </c>
      <c r="S146">
        <f>G146*H146*I146*L146*O146*P146*Q146*R146</f>
        <v>34756.060733111386</v>
      </c>
      <c r="T146">
        <v>2</v>
      </c>
      <c r="U146" s="7">
        <f>T148*T146</f>
        <v>84979.147621208598</v>
      </c>
      <c r="V146" s="7"/>
    </row>
    <row r="147" spans="1:22" x14ac:dyDescent="0.3">
      <c r="A147" s="6"/>
      <c r="F147" s="6" t="s">
        <v>45</v>
      </c>
      <c r="G147">
        <v>1446.85</v>
      </c>
      <c r="H147">
        <v>2</v>
      </c>
      <c r="I147">
        <v>1.28</v>
      </c>
      <c r="J147">
        <v>0</v>
      </c>
      <c r="K147">
        <v>1.9</v>
      </c>
      <c r="L147">
        <f t="shared" ref="L147:L149" si="58">1+6*J147/(J147+2000)+K147</f>
        <v>2.9</v>
      </c>
      <c r="M147">
        <v>0.5</v>
      </c>
      <c r="N147">
        <v>1.5</v>
      </c>
      <c r="O147">
        <f t="shared" ref="O147:O149" si="59">1+M147*N147</f>
        <v>1.75</v>
      </c>
      <c r="P147">
        <v>0.9</v>
      </c>
      <c r="Q147">
        <v>1</v>
      </c>
      <c r="R147">
        <v>0.3</v>
      </c>
      <c r="S147">
        <f t="shared" ref="S147:S149" si="60">G147*H147*I147*L147*O147*P147*Q147*R147</f>
        <v>5075.3183039999994</v>
      </c>
      <c r="T147" t="s">
        <v>15</v>
      </c>
      <c r="U147" s="7"/>
      <c r="V147" s="7"/>
    </row>
    <row r="148" spans="1:22" x14ac:dyDescent="0.3">
      <c r="A148" s="6"/>
      <c r="F148" s="6" t="s">
        <v>46</v>
      </c>
      <c r="G148">
        <v>1446.85</v>
      </c>
      <c r="H148">
        <v>2</v>
      </c>
      <c r="I148">
        <v>1.28</v>
      </c>
      <c r="J148">
        <v>20</v>
      </c>
      <c r="K148">
        <v>1.3</v>
      </c>
      <c r="L148">
        <f t="shared" si="58"/>
        <v>2.3594059405940593</v>
      </c>
      <c r="M148">
        <v>0.93</v>
      </c>
      <c r="N148">
        <v>2.2999999999999998</v>
      </c>
      <c r="O148">
        <f t="shared" si="59"/>
        <v>3.1389999999999998</v>
      </c>
      <c r="P148">
        <v>1.1499999999999999</v>
      </c>
      <c r="Q148">
        <v>1</v>
      </c>
      <c r="R148">
        <v>0.05</v>
      </c>
      <c r="S148">
        <f t="shared" si="60"/>
        <v>1577.3399494929104</v>
      </c>
      <c r="T148">
        <f>SUM(S146:S149)</f>
        <v>42489.573810604299</v>
      </c>
      <c r="U148" s="7"/>
      <c r="V148" s="7"/>
    </row>
    <row r="149" spans="1:22" x14ac:dyDescent="0.3">
      <c r="A149" s="6"/>
      <c r="F149" s="6" t="s">
        <v>47</v>
      </c>
      <c r="G149">
        <v>1446.85</v>
      </c>
      <c r="H149">
        <v>2</v>
      </c>
      <c r="I149">
        <v>1.28</v>
      </c>
      <c r="J149">
        <v>0</v>
      </c>
      <c r="K149">
        <v>1.9</v>
      </c>
      <c r="L149">
        <f t="shared" si="58"/>
        <v>2.9</v>
      </c>
      <c r="M149">
        <v>0.5</v>
      </c>
      <c r="N149">
        <v>1.5</v>
      </c>
      <c r="O149">
        <f t="shared" si="59"/>
        <v>1.75</v>
      </c>
      <c r="P149">
        <v>1.1499999999999999</v>
      </c>
      <c r="Q149">
        <v>1</v>
      </c>
      <c r="R149">
        <v>0.05</v>
      </c>
      <c r="S149">
        <f t="shared" si="60"/>
        <v>1080.854824</v>
      </c>
      <c r="U149" s="7"/>
      <c r="V149" s="7"/>
    </row>
    <row r="150" spans="1:22" x14ac:dyDescent="0.3">
      <c r="A150" s="6"/>
      <c r="F150" s="6"/>
      <c r="U150" s="7"/>
      <c r="V150" s="7"/>
    </row>
    <row r="151" spans="1:22" x14ac:dyDescent="0.3">
      <c r="A151" s="6"/>
      <c r="F151" s="6"/>
      <c r="G151" t="s">
        <v>42</v>
      </c>
      <c r="H151" t="s">
        <v>43</v>
      </c>
      <c r="I151" t="s">
        <v>6</v>
      </c>
      <c r="J151" t="s">
        <v>2</v>
      </c>
      <c r="K151" t="s">
        <v>18</v>
      </c>
      <c r="L151" t="s">
        <v>9</v>
      </c>
      <c r="M151" t="s">
        <v>0</v>
      </c>
      <c r="N151" t="s">
        <v>11</v>
      </c>
      <c r="O151" t="s">
        <v>12</v>
      </c>
      <c r="P151" t="s">
        <v>13</v>
      </c>
      <c r="Q151" t="s">
        <v>14</v>
      </c>
      <c r="R151" t="s">
        <v>48</v>
      </c>
      <c r="S151" t="s">
        <v>49</v>
      </c>
      <c r="T151" t="s">
        <v>51</v>
      </c>
      <c r="U151" s="7" t="s">
        <v>16</v>
      </c>
      <c r="V151" s="7"/>
    </row>
    <row r="152" spans="1:22" x14ac:dyDescent="0.3">
      <c r="A152" s="6"/>
      <c r="F152" s="6" t="s">
        <v>44</v>
      </c>
      <c r="G152">
        <v>1446.85</v>
      </c>
      <c r="H152">
        <v>2</v>
      </c>
      <c r="I152">
        <v>1.28</v>
      </c>
      <c r="J152">
        <v>200</v>
      </c>
      <c r="K152">
        <v>2.38</v>
      </c>
      <c r="L152">
        <f>1+6*J152/(J152+2000)+K152</f>
        <v>3.9254545454545453</v>
      </c>
      <c r="M152">
        <v>0.85</v>
      </c>
      <c r="N152">
        <v>2.2200000000000002</v>
      </c>
      <c r="O152">
        <f>1+M152*N152</f>
        <v>2.887</v>
      </c>
      <c r="P152">
        <v>0.9</v>
      </c>
      <c r="Q152">
        <v>1.2</v>
      </c>
      <c r="R152">
        <v>0.6</v>
      </c>
      <c r="S152">
        <f>G152*H152*I152*L152*O152*P152*Q152*R152</f>
        <v>27200.395356348043</v>
      </c>
      <c r="T152">
        <v>2</v>
      </c>
      <c r="U152" s="7">
        <f>T154*T152</f>
        <v>68712.080009641504</v>
      </c>
      <c r="V152" s="7"/>
    </row>
    <row r="153" spans="1:22" x14ac:dyDescent="0.3">
      <c r="A153" s="6"/>
      <c r="F153" s="6" t="s">
        <v>45</v>
      </c>
      <c r="G153">
        <v>1446.85</v>
      </c>
      <c r="H153">
        <v>2</v>
      </c>
      <c r="I153">
        <v>1.28</v>
      </c>
      <c r="J153">
        <v>0</v>
      </c>
      <c r="K153">
        <v>1.9</v>
      </c>
      <c r="L153">
        <f t="shared" ref="L153:L155" si="61">1+6*J153/(J153+2000)+K153</f>
        <v>2.9</v>
      </c>
      <c r="M153">
        <v>0.5</v>
      </c>
      <c r="N153">
        <v>1.5</v>
      </c>
      <c r="O153">
        <f t="shared" ref="O153:O155" si="62">1+M153*N153</f>
        <v>1.75</v>
      </c>
      <c r="P153">
        <v>0.9</v>
      </c>
      <c r="Q153">
        <v>1</v>
      </c>
      <c r="R153">
        <v>0.3</v>
      </c>
      <c r="S153">
        <f t="shared" ref="S153:S155" si="63">G153*H153*I153*L153*O153*P153*Q153*R153</f>
        <v>5075.3183039999994</v>
      </c>
      <c r="T153" t="s">
        <v>15</v>
      </c>
      <c r="U153" s="7"/>
      <c r="V153" s="7"/>
    </row>
    <row r="154" spans="1:22" x14ac:dyDescent="0.3">
      <c r="A154" s="6"/>
      <c r="F154" s="6" t="s">
        <v>46</v>
      </c>
      <c r="G154">
        <v>1446.85</v>
      </c>
      <c r="H154">
        <v>2</v>
      </c>
      <c r="I154">
        <v>1.28</v>
      </c>
      <c r="J154">
        <v>20</v>
      </c>
      <c r="K154">
        <v>1.3</v>
      </c>
      <c r="L154">
        <f t="shared" si="61"/>
        <v>2.3594059405940593</v>
      </c>
      <c r="M154">
        <v>0.93</v>
      </c>
      <c r="N154">
        <v>2.2999999999999998</v>
      </c>
      <c r="O154">
        <f t="shared" si="62"/>
        <v>3.1389999999999998</v>
      </c>
      <c r="P154">
        <v>0.9</v>
      </c>
      <c r="Q154">
        <v>1</v>
      </c>
      <c r="R154">
        <v>0.05</v>
      </c>
      <c r="S154">
        <f t="shared" si="63"/>
        <v>1234.4399604727125</v>
      </c>
      <c r="T154">
        <f>SUM(S152:S155)</f>
        <v>34356.040004820752</v>
      </c>
      <c r="U154" s="7"/>
      <c r="V154" s="7"/>
    </row>
    <row r="155" spans="1:22" ht="14.5" thickBot="1" x14ac:dyDescent="0.35">
      <c r="A155" s="6"/>
      <c r="F155" s="8" t="s">
        <v>47</v>
      </c>
      <c r="G155" s="9">
        <v>1446.85</v>
      </c>
      <c r="H155" s="9">
        <v>2</v>
      </c>
      <c r="I155" s="9">
        <v>1.28</v>
      </c>
      <c r="J155" s="9">
        <v>0</v>
      </c>
      <c r="K155">
        <v>1.9</v>
      </c>
      <c r="L155" s="9">
        <f t="shared" si="61"/>
        <v>2.9</v>
      </c>
      <c r="M155">
        <v>0.5</v>
      </c>
      <c r="N155" s="9">
        <v>1.5</v>
      </c>
      <c r="O155" s="9">
        <f t="shared" si="62"/>
        <v>1.75</v>
      </c>
      <c r="P155" s="9">
        <v>0.9</v>
      </c>
      <c r="Q155" s="9">
        <v>1</v>
      </c>
      <c r="R155" s="9">
        <v>0.05</v>
      </c>
      <c r="S155" s="9">
        <f t="shared" si="63"/>
        <v>845.88638400000002</v>
      </c>
      <c r="T155" s="9"/>
      <c r="U155" s="10"/>
      <c r="V155" s="7"/>
    </row>
    <row r="156" spans="1:22" ht="14.5" thickBot="1" x14ac:dyDescent="0.35">
      <c r="A156" s="6"/>
      <c r="F156" s="23" t="s">
        <v>54</v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7"/>
    </row>
    <row r="157" spans="1:22" x14ac:dyDescent="0.3">
      <c r="A157" s="6"/>
      <c r="F157" s="3"/>
      <c r="G157" s="4" t="s">
        <v>42</v>
      </c>
      <c r="H157" s="4" t="s">
        <v>52</v>
      </c>
      <c r="I157" s="4" t="s">
        <v>6</v>
      </c>
      <c r="J157" s="4" t="s">
        <v>2</v>
      </c>
      <c r="K157" s="4" t="s">
        <v>18</v>
      </c>
      <c r="L157" s="4" t="s">
        <v>9</v>
      </c>
      <c r="M157" s="4" t="s">
        <v>0</v>
      </c>
      <c r="N157" s="4" t="s">
        <v>11</v>
      </c>
      <c r="O157" s="4" t="s">
        <v>12</v>
      </c>
      <c r="P157" s="4" t="s">
        <v>13</v>
      </c>
      <c r="Q157" s="4" t="s">
        <v>14</v>
      </c>
      <c r="R157" s="4" t="s">
        <v>48</v>
      </c>
      <c r="S157" s="4" t="s">
        <v>49</v>
      </c>
      <c r="T157" s="4" t="s">
        <v>51</v>
      </c>
      <c r="U157" s="5" t="s">
        <v>16</v>
      </c>
      <c r="V157" s="7"/>
    </row>
    <row r="158" spans="1:22" x14ac:dyDescent="0.3">
      <c r="A158" s="6"/>
      <c r="F158" s="6" t="s">
        <v>44</v>
      </c>
      <c r="G158">
        <v>1446.85</v>
      </c>
      <c r="H158">
        <v>0.75</v>
      </c>
      <c r="I158">
        <v>1.28</v>
      </c>
      <c r="J158">
        <v>0</v>
      </c>
      <c r="K158">
        <v>1.9</v>
      </c>
      <c r="L158">
        <f t="shared" ref="L158" si="64">1+6*J158/(J158+2000)+K158</f>
        <v>2.9</v>
      </c>
      <c r="M158">
        <v>0.5</v>
      </c>
      <c r="N158">
        <v>1.5</v>
      </c>
      <c r="O158">
        <f t="shared" ref="O158" si="65">1+M158*N158</f>
        <v>1.75</v>
      </c>
      <c r="P158">
        <v>0.9</v>
      </c>
      <c r="Q158">
        <v>1</v>
      </c>
      <c r="R158">
        <v>0.6</v>
      </c>
      <c r="S158">
        <f>G158*H158*I158*L158*O158*P158*Q158*R158</f>
        <v>3806.4887279999994</v>
      </c>
      <c r="T158">
        <v>4</v>
      </c>
      <c r="U158" s="7">
        <f>T160*T158</f>
        <v>45280.292622072899</v>
      </c>
      <c r="V158" s="7"/>
    </row>
    <row r="159" spans="1:22" x14ac:dyDescent="0.3">
      <c r="A159" s="6"/>
      <c r="F159" s="6" t="s">
        <v>45</v>
      </c>
      <c r="G159">
        <v>1446.85</v>
      </c>
      <c r="H159">
        <v>0.75</v>
      </c>
      <c r="I159">
        <v>1.28</v>
      </c>
      <c r="J159">
        <v>200</v>
      </c>
      <c r="K159">
        <v>2.38</v>
      </c>
      <c r="L159">
        <f>1+6*J159/(J159+2000)+K159</f>
        <v>3.9254545454545453</v>
      </c>
      <c r="M159">
        <v>0.85</v>
      </c>
      <c r="N159">
        <v>2.2200000000000002</v>
      </c>
      <c r="O159">
        <f>1+M159*N159</f>
        <v>2.887</v>
      </c>
      <c r="P159">
        <v>1.1499999999999999</v>
      </c>
      <c r="Q159">
        <v>1.2</v>
      </c>
      <c r="R159">
        <v>0.3</v>
      </c>
      <c r="S159">
        <f t="shared" ref="S159:S161" si="66">G159*H159*I159*L159*O159*P159*Q159*R159</f>
        <v>6516.761387458384</v>
      </c>
      <c r="T159" t="s">
        <v>15</v>
      </c>
      <c r="U159" s="7"/>
      <c r="V159" s="7"/>
    </row>
    <row r="160" spans="1:22" x14ac:dyDescent="0.3">
      <c r="A160" s="6"/>
      <c r="F160" s="6" t="s">
        <v>46</v>
      </c>
      <c r="G160">
        <v>1446.85</v>
      </c>
      <c r="H160">
        <v>0.75</v>
      </c>
      <c r="I160">
        <v>1.28</v>
      </c>
      <c r="J160">
        <v>20</v>
      </c>
      <c r="K160">
        <v>1.3</v>
      </c>
      <c r="L160">
        <f t="shared" ref="L160:L161" si="67">1+6*J160/(J160+2000)+K160</f>
        <v>2.3594059405940593</v>
      </c>
      <c r="M160">
        <v>0.93</v>
      </c>
      <c r="N160">
        <v>2.2999999999999998</v>
      </c>
      <c r="O160">
        <f t="shared" ref="O160:O161" si="68">1+M160*N160</f>
        <v>3.1389999999999998</v>
      </c>
      <c r="P160">
        <v>1.1499999999999999</v>
      </c>
      <c r="Q160">
        <v>1</v>
      </c>
      <c r="R160">
        <v>0.05</v>
      </c>
      <c r="S160">
        <f t="shared" si="66"/>
        <v>591.50248105984144</v>
      </c>
      <c r="T160">
        <f>SUM(S158:S161)</f>
        <v>11320.073155518225</v>
      </c>
      <c r="U160" s="7"/>
      <c r="V160" s="7"/>
    </row>
    <row r="161" spans="1:22" x14ac:dyDescent="0.3">
      <c r="A161" s="6"/>
      <c r="F161" s="6" t="s">
        <v>47</v>
      </c>
      <c r="G161">
        <v>1446.85</v>
      </c>
      <c r="H161">
        <v>0.75</v>
      </c>
      <c r="I161">
        <v>1.28</v>
      </c>
      <c r="J161">
        <v>0</v>
      </c>
      <c r="K161">
        <v>1.9</v>
      </c>
      <c r="L161">
        <f t="shared" si="67"/>
        <v>2.9</v>
      </c>
      <c r="M161">
        <v>0.5</v>
      </c>
      <c r="N161">
        <v>1.5</v>
      </c>
      <c r="O161">
        <f t="shared" si="68"/>
        <v>1.75</v>
      </c>
      <c r="P161">
        <v>1.1499999999999999</v>
      </c>
      <c r="Q161">
        <v>1</v>
      </c>
      <c r="R161">
        <v>0.05</v>
      </c>
      <c r="S161">
        <f t="shared" si="66"/>
        <v>405.32055899999995</v>
      </c>
      <c r="U161" s="7"/>
      <c r="V161" s="7"/>
    </row>
    <row r="162" spans="1:22" x14ac:dyDescent="0.3">
      <c r="A162" s="6"/>
      <c r="F162" s="6"/>
      <c r="U162" s="7"/>
      <c r="V162" s="7"/>
    </row>
    <row r="163" spans="1:22" x14ac:dyDescent="0.3">
      <c r="A163" s="6"/>
      <c r="F163" s="6"/>
      <c r="G163" t="s">
        <v>42</v>
      </c>
      <c r="H163" t="s">
        <v>52</v>
      </c>
      <c r="I163" t="s">
        <v>6</v>
      </c>
      <c r="J163" t="s">
        <v>2</v>
      </c>
      <c r="K163" t="s">
        <v>18</v>
      </c>
      <c r="L163" t="s">
        <v>9</v>
      </c>
      <c r="M163" t="s">
        <v>0</v>
      </c>
      <c r="N163" t="s">
        <v>11</v>
      </c>
      <c r="O163" t="s">
        <v>12</v>
      </c>
      <c r="P163" t="s">
        <v>13</v>
      </c>
      <c r="Q163" t="s">
        <v>14</v>
      </c>
      <c r="R163" t="s">
        <v>48</v>
      </c>
      <c r="S163" t="s">
        <v>49</v>
      </c>
      <c r="T163" t="s">
        <v>51</v>
      </c>
      <c r="U163" s="7" t="s">
        <v>16</v>
      </c>
      <c r="V163" s="7"/>
    </row>
    <row r="164" spans="1:22" x14ac:dyDescent="0.3">
      <c r="A164" s="6"/>
      <c r="F164" s="6" t="s">
        <v>44</v>
      </c>
      <c r="G164">
        <v>1446.85</v>
      </c>
      <c r="H164">
        <v>0.75</v>
      </c>
      <c r="I164">
        <v>1.28</v>
      </c>
      <c r="J164">
        <v>0</v>
      </c>
      <c r="K164">
        <v>1.9</v>
      </c>
      <c r="L164">
        <f t="shared" ref="L164" si="69">1+6*J164/(J164+2000)+K164</f>
        <v>2.9</v>
      </c>
      <c r="M164">
        <v>0.5</v>
      </c>
      <c r="N164">
        <v>1.5</v>
      </c>
      <c r="O164">
        <f t="shared" ref="O164" si="70">1+M164*N164</f>
        <v>1.75</v>
      </c>
      <c r="P164">
        <v>0.9</v>
      </c>
      <c r="Q164">
        <v>1</v>
      </c>
      <c r="R164">
        <v>0.6</v>
      </c>
      <c r="S164">
        <f>G164*H164*I164*L164*O164*P164*Q164*R164</f>
        <v>3806.4887279999994</v>
      </c>
      <c r="T164">
        <v>2</v>
      </c>
      <c r="U164" s="7">
        <f>T166*T164</f>
        <v>19806.771794750195</v>
      </c>
      <c r="V164" s="7"/>
    </row>
    <row r="165" spans="1:22" x14ac:dyDescent="0.3">
      <c r="A165" s="6"/>
      <c r="F165" s="6" t="s">
        <v>45</v>
      </c>
      <c r="G165">
        <v>1446.85</v>
      </c>
      <c r="H165">
        <v>0.75</v>
      </c>
      <c r="I165">
        <v>1.28</v>
      </c>
      <c r="J165">
        <v>200</v>
      </c>
      <c r="K165">
        <v>2.38</v>
      </c>
      <c r="L165">
        <f>1+6*J165/(J165+2000)+K165</f>
        <v>3.9254545454545453</v>
      </c>
      <c r="M165">
        <v>0.85</v>
      </c>
      <c r="N165">
        <v>2.2200000000000002</v>
      </c>
      <c r="O165">
        <f>1+M165*N165</f>
        <v>2.887</v>
      </c>
      <c r="P165">
        <v>0.9</v>
      </c>
      <c r="Q165">
        <v>1.2</v>
      </c>
      <c r="R165">
        <v>0.3</v>
      </c>
      <c r="S165">
        <f t="shared" ref="S165:S167" si="71">G165*H165*I165*L165*O165*P165*Q165*R165</f>
        <v>5100.0741293152578</v>
      </c>
      <c r="T165" t="s">
        <v>15</v>
      </c>
      <c r="U165" s="7"/>
      <c r="V165" s="7"/>
    </row>
    <row r="166" spans="1:22" x14ac:dyDescent="0.3">
      <c r="A166" s="6"/>
      <c r="F166" s="6" t="s">
        <v>46</v>
      </c>
      <c r="G166">
        <v>1446.85</v>
      </c>
      <c r="H166">
        <v>0.75</v>
      </c>
      <c r="I166">
        <v>1.28</v>
      </c>
      <c r="J166">
        <v>20</v>
      </c>
      <c r="K166">
        <v>1.3</v>
      </c>
      <c r="L166">
        <f t="shared" ref="L166:L167" si="72">1+6*J166/(J166+2000)+K166</f>
        <v>2.3594059405940593</v>
      </c>
      <c r="M166">
        <v>0.93</v>
      </c>
      <c r="N166">
        <v>2.2999999999999998</v>
      </c>
      <c r="O166">
        <f t="shared" ref="O166:O167" si="73">1+M166*N166</f>
        <v>3.1389999999999998</v>
      </c>
      <c r="P166">
        <v>1.1499999999999999</v>
      </c>
      <c r="Q166">
        <v>1</v>
      </c>
      <c r="R166">
        <v>0.05</v>
      </c>
      <c r="S166">
        <f t="shared" si="71"/>
        <v>591.50248105984144</v>
      </c>
      <c r="T166">
        <f>SUM(S164:S167)</f>
        <v>9903.3858973750976</v>
      </c>
      <c r="U166" s="7"/>
      <c r="V166" s="7"/>
    </row>
    <row r="167" spans="1:22" ht="14.5" thickBot="1" x14ac:dyDescent="0.35">
      <c r="A167" s="8"/>
      <c r="B167" s="9"/>
      <c r="C167" s="9"/>
      <c r="D167" s="9"/>
      <c r="E167" s="9"/>
      <c r="F167" s="8" t="s">
        <v>47</v>
      </c>
      <c r="G167" s="9">
        <v>1446.85</v>
      </c>
      <c r="H167" s="9">
        <v>0.75</v>
      </c>
      <c r="I167" s="9">
        <v>1.28</v>
      </c>
      <c r="J167" s="9">
        <v>0</v>
      </c>
      <c r="K167" s="9">
        <v>1.9</v>
      </c>
      <c r="L167" s="9">
        <f t="shared" si="72"/>
        <v>2.9</v>
      </c>
      <c r="M167" s="9">
        <v>0.5</v>
      </c>
      <c r="N167" s="9">
        <v>1.5</v>
      </c>
      <c r="O167" s="9">
        <f t="shared" si="73"/>
        <v>1.75</v>
      </c>
      <c r="P167" s="9">
        <v>1.1499999999999999</v>
      </c>
      <c r="Q167" s="9">
        <v>1</v>
      </c>
      <c r="R167" s="9">
        <v>0.05</v>
      </c>
      <c r="S167" s="9">
        <f t="shared" si="71"/>
        <v>405.32055899999995</v>
      </c>
      <c r="T167" s="9"/>
      <c r="U167" s="10"/>
      <c r="V167" s="10"/>
    </row>
    <row r="173" spans="1:22" ht="14.5" thickBot="1" x14ac:dyDescent="0.35"/>
    <row r="174" spans="1:22" x14ac:dyDescent="0.3">
      <c r="A174" s="15" t="s">
        <v>70</v>
      </c>
      <c r="B174" s="16"/>
      <c r="C174" s="16"/>
      <c r="D174" s="17"/>
      <c r="E174" s="4"/>
      <c r="F174" s="4" t="s">
        <v>4</v>
      </c>
      <c r="G174" s="4" t="s">
        <v>1</v>
      </c>
      <c r="H174" s="4" t="s">
        <v>5</v>
      </c>
      <c r="I174" s="4" t="s">
        <v>6</v>
      </c>
      <c r="J174" s="4" t="s">
        <v>7</v>
      </c>
      <c r="K174" s="4" t="s">
        <v>8</v>
      </c>
      <c r="L174" s="4" t="s">
        <v>2</v>
      </c>
      <c r="M174" s="4" t="s">
        <v>18</v>
      </c>
      <c r="N174" s="4" t="s">
        <v>9</v>
      </c>
      <c r="O174" s="4" t="s">
        <v>10</v>
      </c>
      <c r="P174" s="4" t="s">
        <v>0</v>
      </c>
      <c r="Q174" s="4" t="s">
        <v>11</v>
      </c>
      <c r="R174" s="4" t="s">
        <v>12</v>
      </c>
      <c r="S174" s="4" t="s">
        <v>13</v>
      </c>
      <c r="T174" s="4" t="s">
        <v>14</v>
      </c>
      <c r="U174" s="4" t="s">
        <v>15</v>
      </c>
      <c r="V174" s="5" t="s">
        <v>16</v>
      </c>
    </row>
    <row r="175" spans="1:22" x14ac:dyDescent="0.3">
      <c r="A175" s="18" t="s">
        <v>27</v>
      </c>
      <c r="B175" s="1" t="s">
        <v>25</v>
      </c>
      <c r="C175" s="1" t="s">
        <v>26</v>
      </c>
      <c r="D175" s="1" t="s">
        <v>28</v>
      </c>
      <c r="F175" t="s">
        <v>17</v>
      </c>
      <c r="G175">
        <f>3199+488+203+427</f>
        <v>4317</v>
      </c>
      <c r="H175">
        <v>2.9355000000000002</v>
      </c>
      <c r="I175">
        <v>1.28</v>
      </c>
      <c r="J175">
        <v>1</v>
      </c>
      <c r="K175">
        <f>G175*H175*I175*J175</f>
        <v>16220.868480000003</v>
      </c>
      <c r="L175">
        <v>200</v>
      </c>
      <c r="M175">
        <v>2.68</v>
      </c>
      <c r="N175">
        <f>1+6*L175/(L175+2000)+M175</f>
        <v>4.2254545454545456</v>
      </c>
      <c r="O175">
        <v>0</v>
      </c>
      <c r="P175">
        <v>0.85</v>
      </c>
      <c r="Q175">
        <v>2.62</v>
      </c>
      <c r="R175">
        <f>1+P175*Q175</f>
        <v>3.2269999999999999</v>
      </c>
      <c r="S175">
        <v>1.25</v>
      </c>
      <c r="T175">
        <v>1.2</v>
      </c>
      <c r="U175">
        <f>(K175*N175+O175)*R175*S175*T175</f>
        <v>331770.49572940107</v>
      </c>
      <c r="V175" s="7">
        <f>SUM(U175:U201)</f>
        <v>7341383.9578212732</v>
      </c>
    </row>
    <row r="176" spans="1:22" x14ac:dyDescent="0.3">
      <c r="A176" s="18"/>
      <c r="B176" s="1">
        <f>B178+B180+B182</f>
        <v>9292031.0281849131</v>
      </c>
      <c r="C176" s="1">
        <f>B176/D176</f>
        <v>432187.48968301923</v>
      </c>
      <c r="D176" s="1">
        <v>21.5</v>
      </c>
      <c r="F176" t="s">
        <v>58</v>
      </c>
      <c r="G176">
        <f t="shared" ref="G176:G190" si="74">3199+488+203+427</f>
        <v>4317</v>
      </c>
      <c r="H176">
        <v>1.875</v>
      </c>
      <c r="I176">
        <v>1.28</v>
      </c>
      <c r="J176">
        <v>1</v>
      </c>
      <c r="K176">
        <f t="shared" ref="K176:K201" si="75">G176*H176*I176*J176</f>
        <v>10360.800000000001</v>
      </c>
      <c r="L176">
        <v>200</v>
      </c>
      <c r="M176">
        <v>2.68</v>
      </c>
      <c r="N176">
        <f t="shared" ref="N176:N201" si="76">1+6*L176/(L176+2000)+M176</f>
        <v>4.2254545454545456</v>
      </c>
      <c r="O176">
        <v>0</v>
      </c>
      <c r="P176">
        <v>0.85</v>
      </c>
      <c r="Q176">
        <v>2.2200000000000002</v>
      </c>
      <c r="R176">
        <f t="shared" ref="R176:R201" si="77">1+P176*Q176</f>
        <v>2.887</v>
      </c>
      <c r="S176">
        <v>1.25</v>
      </c>
      <c r="T176">
        <v>1.2</v>
      </c>
      <c r="U176">
        <f t="shared" ref="U176:U201" si="78">(K176*N176+O176)*R176*S176*T176</f>
        <v>189585.3468829091</v>
      </c>
      <c r="V176" s="7"/>
    </row>
    <row r="177" spans="1:22" x14ac:dyDescent="0.3">
      <c r="A177" s="18"/>
      <c r="B177" s="1" t="s">
        <v>29</v>
      </c>
      <c r="C177" s="1" t="s">
        <v>30</v>
      </c>
      <c r="D177" s="1"/>
      <c r="F177" t="s">
        <v>17</v>
      </c>
      <c r="G177">
        <f t="shared" si="74"/>
        <v>4317</v>
      </c>
      <c r="H177">
        <v>2.9355000000000002</v>
      </c>
      <c r="I177">
        <v>1.28</v>
      </c>
      <c r="J177">
        <v>1</v>
      </c>
      <c r="K177">
        <f t="shared" si="75"/>
        <v>16220.868480000003</v>
      </c>
      <c r="L177">
        <v>200</v>
      </c>
      <c r="M177">
        <v>2.68</v>
      </c>
      <c r="N177">
        <f t="shared" si="76"/>
        <v>4.2254545454545456</v>
      </c>
      <c r="O177">
        <v>0</v>
      </c>
      <c r="P177">
        <v>0.85</v>
      </c>
      <c r="Q177">
        <v>2.82</v>
      </c>
      <c r="R177">
        <f t="shared" si="77"/>
        <v>3.3969999999999998</v>
      </c>
      <c r="S177">
        <v>1.25</v>
      </c>
      <c r="T177">
        <v>1.2</v>
      </c>
      <c r="U177">
        <f t="shared" si="78"/>
        <v>349248.33405416034</v>
      </c>
      <c r="V177" s="7"/>
    </row>
    <row r="178" spans="1:22" x14ac:dyDescent="0.3">
      <c r="A178" s="18"/>
      <c r="B178" s="1">
        <f>V175+T204</f>
        <v>7948521.6719718436</v>
      </c>
      <c r="C178" s="2">
        <f>B178/B176</f>
        <v>0.85541273461766432</v>
      </c>
      <c r="D178" s="1"/>
      <c r="F178" t="s">
        <v>17</v>
      </c>
      <c r="G178">
        <f t="shared" si="74"/>
        <v>4317</v>
      </c>
      <c r="H178">
        <v>2.9355000000000002</v>
      </c>
      <c r="I178">
        <v>1.28</v>
      </c>
      <c r="J178">
        <v>1</v>
      </c>
      <c r="K178">
        <f t="shared" si="75"/>
        <v>16220.868480000003</v>
      </c>
      <c r="L178">
        <v>200</v>
      </c>
      <c r="M178">
        <v>2.68</v>
      </c>
      <c r="N178">
        <f t="shared" si="76"/>
        <v>4.2254545454545456</v>
      </c>
      <c r="O178">
        <v>0</v>
      </c>
      <c r="P178">
        <v>0.85</v>
      </c>
      <c r="Q178">
        <v>3.02</v>
      </c>
      <c r="R178">
        <f t="shared" si="77"/>
        <v>3.5669999999999997</v>
      </c>
      <c r="S178">
        <v>1.25</v>
      </c>
      <c r="T178">
        <v>1.2</v>
      </c>
      <c r="U178">
        <f t="shared" si="78"/>
        <v>366726.17237891961</v>
      </c>
      <c r="V178" s="7"/>
    </row>
    <row r="179" spans="1:22" x14ac:dyDescent="0.3">
      <c r="A179" s="18"/>
      <c r="B179" s="1" t="s">
        <v>31</v>
      </c>
      <c r="C179" s="2" t="s">
        <v>30</v>
      </c>
      <c r="D179" s="1"/>
      <c r="F179" t="s">
        <v>61</v>
      </c>
      <c r="G179">
        <f t="shared" si="74"/>
        <v>4317</v>
      </c>
      <c r="H179">
        <v>1.2</v>
      </c>
      <c r="I179">
        <v>1.28</v>
      </c>
      <c r="J179">
        <v>1</v>
      </c>
      <c r="K179">
        <f t="shared" si="75"/>
        <v>6630.9119999999994</v>
      </c>
      <c r="L179">
        <v>200</v>
      </c>
      <c r="M179">
        <v>2.68</v>
      </c>
      <c r="N179">
        <f t="shared" si="76"/>
        <v>4.2254545454545456</v>
      </c>
      <c r="O179">
        <v>0</v>
      </c>
      <c r="P179">
        <v>0.85</v>
      </c>
      <c r="Q179">
        <v>3.02</v>
      </c>
      <c r="R179">
        <f t="shared" si="77"/>
        <v>3.5669999999999997</v>
      </c>
      <c r="S179">
        <v>1.25</v>
      </c>
      <c r="T179">
        <v>1.2</v>
      </c>
      <c r="U179">
        <f t="shared" si="78"/>
        <v>149913.61160098907</v>
      </c>
      <c r="V179" s="7"/>
    </row>
    <row r="180" spans="1:22" x14ac:dyDescent="0.3">
      <c r="A180" s="18"/>
      <c r="B180" s="1">
        <f>V212+T225</f>
        <v>1096787.15638091</v>
      </c>
      <c r="C180" s="2">
        <f>B180/B176</f>
        <v>0.11803524472250436</v>
      </c>
      <c r="D180" s="1"/>
      <c r="F180" t="s">
        <v>17</v>
      </c>
      <c r="G180">
        <f t="shared" si="74"/>
        <v>4317</v>
      </c>
      <c r="H180">
        <v>2.9355000000000002</v>
      </c>
      <c r="I180">
        <v>1.28</v>
      </c>
      <c r="J180">
        <v>1</v>
      </c>
      <c r="K180">
        <f t="shared" si="75"/>
        <v>16220.868480000003</v>
      </c>
      <c r="L180">
        <v>200</v>
      </c>
      <c r="M180">
        <v>2.68</v>
      </c>
      <c r="N180">
        <f t="shared" si="76"/>
        <v>4.2254545454545456</v>
      </c>
      <c r="O180">
        <v>0</v>
      </c>
      <c r="P180">
        <v>0.85</v>
      </c>
      <c r="Q180">
        <v>3.22</v>
      </c>
      <c r="R180">
        <f t="shared" si="77"/>
        <v>3.7370000000000001</v>
      </c>
      <c r="S180">
        <v>1.25</v>
      </c>
      <c r="T180">
        <v>1.2</v>
      </c>
      <c r="U180">
        <f t="shared" si="78"/>
        <v>384204.01070367888</v>
      </c>
      <c r="V180" s="7"/>
    </row>
    <row r="181" spans="1:22" x14ac:dyDescent="0.3">
      <c r="A181" s="18"/>
      <c r="B181" s="1" t="s">
        <v>50</v>
      </c>
      <c r="C181" s="2" t="s">
        <v>30</v>
      </c>
      <c r="D181" s="1"/>
      <c r="F181" t="s">
        <v>58</v>
      </c>
      <c r="G181">
        <f t="shared" si="74"/>
        <v>4317</v>
      </c>
      <c r="H181">
        <v>1.875</v>
      </c>
      <c r="I181">
        <v>1.28</v>
      </c>
      <c r="J181">
        <v>1</v>
      </c>
      <c r="K181">
        <f t="shared" si="75"/>
        <v>10360.800000000001</v>
      </c>
      <c r="L181">
        <v>200</v>
      </c>
      <c r="M181">
        <v>2.68</v>
      </c>
      <c r="N181">
        <f t="shared" si="76"/>
        <v>4.2254545454545456</v>
      </c>
      <c r="O181">
        <v>0</v>
      </c>
      <c r="P181">
        <v>0.85</v>
      </c>
      <c r="Q181">
        <v>2.2200000000000002</v>
      </c>
      <c r="R181">
        <f t="shared" si="77"/>
        <v>2.887</v>
      </c>
      <c r="S181">
        <v>1.25</v>
      </c>
      <c r="T181">
        <v>1.2</v>
      </c>
      <c r="U181">
        <f t="shared" si="78"/>
        <v>189585.3468829091</v>
      </c>
      <c r="V181" s="7"/>
    </row>
    <row r="182" spans="1:22" x14ac:dyDescent="0.3">
      <c r="A182" s="18"/>
      <c r="B182" s="1">
        <f>U230+U236+U242+U248</f>
        <v>246722.19983215918</v>
      </c>
      <c r="C182" s="2">
        <f>B182/B176</f>
        <v>2.6552020659831289E-2</v>
      </c>
      <c r="D182" s="1"/>
      <c r="F182" t="s">
        <v>61</v>
      </c>
      <c r="G182">
        <f t="shared" si="74"/>
        <v>4317</v>
      </c>
      <c r="H182">
        <v>1.2</v>
      </c>
      <c r="I182">
        <v>1.28</v>
      </c>
      <c r="J182">
        <v>1</v>
      </c>
      <c r="K182">
        <f t="shared" si="75"/>
        <v>6630.9119999999994</v>
      </c>
      <c r="L182">
        <v>200</v>
      </c>
      <c r="M182">
        <v>2.68</v>
      </c>
      <c r="N182">
        <f t="shared" si="76"/>
        <v>4.2254545454545456</v>
      </c>
      <c r="O182">
        <v>0</v>
      </c>
      <c r="P182">
        <v>0.85</v>
      </c>
      <c r="Q182">
        <v>3.22</v>
      </c>
      <c r="R182">
        <f t="shared" si="77"/>
        <v>3.7370000000000001</v>
      </c>
      <c r="S182">
        <v>1.25</v>
      </c>
      <c r="T182">
        <v>1.2</v>
      </c>
      <c r="U182">
        <f t="shared" si="78"/>
        <v>157058.35899997089</v>
      </c>
      <c r="V182" s="7"/>
    </row>
    <row r="183" spans="1:22" x14ac:dyDescent="0.3">
      <c r="A183" s="6"/>
      <c r="F183" t="s">
        <v>17</v>
      </c>
      <c r="G183">
        <f t="shared" si="74"/>
        <v>4317</v>
      </c>
      <c r="H183">
        <v>2.9355000000000002</v>
      </c>
      <c r="I183">
        <v>1.28</v>
      </c>
      <c r="J183">
        <v>1</v>
      </c>
      <c r="K183">
        <f t="shared" si="75"/>
        <v>16220.868480000003</v>
      </c>
      <c r="L183">
        <v>200</v>
      </c>
      <c r="M183">
        <v>2.68</v>
      </c>
      <c r="N183">
        <f t="shared" si="76"/>
        <v>4.2254545454545456</v>
      </c>
      <c r="O183">
        <v>0</v>
      </c>
      <c r="P183">
        <v>0.85</v>
      </c>
      <c r="Q183">
        <v>3.22</v>
      </c>
      <c r="R183">
        <f t="shared" si="77"/>
        <v>3.7370000000000001</v>
      </c>
      <c r="S183">
        <v>1.25</v>
      </c>
      <c r="T183">
        <v>1.2</v>
      </c>
      <c r="U183">
        <f t="shared" si="78"/>
        <v>384204.01070367888</v>
      </c>
      <c r="V183" s="7"/>
    </row>
    <row r="184" spans="1:22" x14ac:dyDescent="0.3">
      <c r="A184" s="12"/>
      <c r="C184" s="13"/>
      <c r="F184" t="s">
        <v>61</v>
      </c>
      <c r="G184">
        <f t="shared" si="74"/>
        <v>4317</v>
      </c>
      <c r="H184">
        <v>1.2</v>
      </c>
      <c r="I184">
        <v>1.28</v>
      </c>
      <c r="J184">
        <v>1</v>
      </c>
      <c r="K184">
        <f t="shared" si="75"/>
        <v>6630.9119999999994</v>
      </c>
      <c r="L184">
        <v>200</v>
      </c>
      <c r="M184">
        <v>2.68</v>
      </c>
      <c r="N184">
        <f t="shared" si="76"/>
        <v>4.2254545454545456</v>
      </c>
      <c r="O184">
        <v>0</v>
      </c>
      <c r="P184">
        <v>0.85</v>
      </c>
      <c r="Q184">
        <v>3.22</v>
      </c>
      <c r="R184">
        <f t="shared" si="77"/>
        <v>3.7370000000000001</v>
      </c>
      <c r="S184">
        <v>1.25</v>
      </c>
      <c r="T184">
        <v>1.2</v>
      </c>
      <c r="U184">
        <f t="shared" si="78"/>
        <v>157058.35899997089</v>
      </c>
      <c r="V184" s="7"/>
    </row>
    <row r="185" spans="1:22" x14ac:dyDescent="0.3">
      <c r="A185" s="12"/>
      <c r="C185" s="13"/>
      <c r="F185" t="s">
        <v>17</v>
      </c>
      <c r="G185">
        <f t="shared" si="74"/>
        <v>4317</v>
      </c>
      <c r="H185">
        <v>2.9355000000000002</v>
      </c>
      <c r="I185">
        <v>1.28</v>
      </c>
      <c r="J185">
        <v>1</v>
      </c>
      <c r="K185">
        <f t="shared" si="75"/>
        <v>16220.868480000003</v>
      </c>
      <c r="L185">
        <v>200</v>
      </c>
      <c r="M185">
        <v>2.68</v>
      </c>
      <c r="N185">
        <f t="shared" si="76"/>
        <v>4.2254545454545456</v>
      </c>
      <c r="O185">
        <v>0</v>
      </c>
      <c r="P185">
        <v>0.85</v>
      </c>
      <c r="Q185">
        <v>3.22</v>
      </c>
      <c r="R185">
        <f t="shared" si="77"/>
        <v>3.7370000000000001</v>
      </c>
      <c r="S185">
        <v>1.25</v>
      </c>
      <c r="T185">
        <v>1.2</v>
      </c>
      <c r="U185">
        <f t="shared" si="78"/>
        <v>384204.01070367888</v>
      </c>
      <c r="V185" s="7"/>
    </row>
    <row r="186" spans="1:22" x14ac:dyDescent="0.3">
      <c r="A186" s="14"/>
      <c r="C186" s="13"/>
      <c r="F186" t="s">
        <v>61</v>
      </c>
      <c r="G186">
        <f t="shared" si="74"/>
        <v>4317</v>
      </c>
      <c r="H186">
        <v>1.2</v>
      </c>
      <c r="I186">
        <v>1.28</v>
      </c>
      <c r="J186">
        <v>1</v>
      </c>
      <c r="K186">
        <f t="shared" si="75"/>
        <v>6630.9119999999994</v>
      </c>
      <c r="L186">
        <v>200</v>
      </c>
      <c r="M186">
        <v>2.68</v>
      </c>
      <c r="N186">
        <f t="shared" si="76"/>
        <v>4.2254545454545456</v>
      </c>
      <c r="O186">
        <v>0</v>
      </c>
      <c r="P186">
        <v>0.85</v>
      </c>
      <c r="Q186">
        <v>3.22</v>
      </c>
      <c r="R186">
        <f t="shared" si="77"/>
        <v>3.7370000000000001</v>
      </c>
      <c r="S186">
        <v>1.25</v>
      </c>
      <c r="T186">
        <v>1.2</v>
      </c>
      <c r="U186">
        <f t="shared" si="78"/>
        <v>157058.35899997089</v>
      </c>
      <c r="V186" s="7"/>
    </row>
    <row r="187" spans="1:22" x14ac:dyDescent="0.3">
      <c r="A187" s="6"/>
      <c r="F187" t="s">
        <v>20</v>
      </c>
      <c r="G187">
        <f t="shared" si="74"/>
        <v>4317</v>
      </c>
      <c r="H187">
        <v>7.0294999999999996</v>
      </c>
      <c r="I187">
        <v>1.28</v>
      </c>
      <c r="J187">
        <v>2</v>
      </c>
      <c r="K187">
        <f t="shared" si="75"/>
        <v>77686.659839999993</v>
      </c>
      <c r="L187">
        <v>200</v>
      </c>
      <c r="M187">
        <v>2.68</v>
      </c>
      <c r="N187">
        <f t="shared" si="76"/>
        <v>4.2254545454545456</v>
      </c>
      <c r="O187">
        <v>0</v>
      </c>
      <c r="P187">
        <v>0.85</v>
      </c>
      <c r="Q187">
        <v>2.2200000000000002</v>
      </c>
      <c r="R187">
        <f t="shared" si="77"/>
        <v>2.887</v>
      </c>
      <c r="S187">
        <v>1.25</v>
      </c>
      <c r="T187">
        <v>1.2</v>
      </c>
      <c r="U187">
        <f t="shared" si="78"/>
        <v>1421536.2089743034</v>
      </c>
      <c r="V187" s="7"/>
    </row>
    <row r="188" spans="1:22" x14ac:dyDescent="0.3">
      <c r="A188" s="6"/>
      <c r="F188" t="s">
        <v>19</v>
      </c>
      <c r="G188">
        <f t="shared" si="74"/>
        <v>4317</v>
      </c>
      <c r="H188">
        <v>0.58320000000000005</v>
      </c>
      <c r="I188">
        <v>1.28</v>
      </c>
      <c r="J188">
        <v>4</v>
      </c>
      <c r="K188">
        <f t="shared" si="75"/>
        <v>12890.492928000001</v>
      </c>
      <c r="L188">
        <v>200</v>
      </c>
      <c r="M188">
        <v>2.68</v>
      </c>
      <c r="N188">
        <f t="shared" si="76"/>
        <v>4.2254545454545456</v>
      </c>
      <c r="O188">
        <v>0</v>
      </c>
      <c r="P188">
        <v>0.85</v>
      </c>
      <c r="Q188">
        <v>2.2200000000000002</v>
      </c>
      <c r="R188">
        <f t="shared" si="77"/>
        <v>2.887</v>
      </c>
      <c r="S188">
        <v>1.25</v>
      </c>
      <c r="T188">
        <v>1.2</v>
      </c>
      <c r="U188">
        <f t="shared" si="78"/>
        <v>235874.50517784018</v>
      </c>
      <c r="V188" s="7"/>
    </row>
    <row r="189" spans="1:22" x14ac:dyDescent="0.3">
      <c r="A189" s="6"/>
      <c r="F189" t="s">
        <v>58</v>
      </c>
      <c r="G189">
        <f t="shared" si="74"/>
        <v>4317</v>
      </c>
      <c r="H189">
        <v>1.875</v>
      </c>
      <c r="I189">
        <v>1.28</v>
      </c>
      <c r="J189">
        <v>1</v>
      </c>
      <c r="K189">
        <f t="shared" si="75"/>
        <v>10360.800000000001</v>
      </c>
      <c r="L189">
        <v>200</v>
      </c>
      <c r="M189">
        <v>2.68</v>
      </c>
      <c r="N189">
        <f t="shared" si="76"/>
        <v>4.2254545454545456</v>
      </c>
      <c r="O189">
        <v>0</v>
      </c>
      <c r="P189">
        <v>0.85</v>
      </c>
      <c r="Q189">
        <v>2.2200000000000002</v>
      </c>
      <c r="R189">
        <f t="shared" si="77"/>
        <v>2.887</v>
      </c>
      <c r="S189">
        <v>1.25</v>
      </c>
      <c r="T189">
        <v>1.2</v>
      </c>
      <c r="U189">
        <f t="shared" si="78"/>
        <v>189585.3468829091</v>
      </c>
      <c r="V189" s="7"/>
    </row>
    <row r="190" spans="1:22" x14ac:dyDescent="0.3">
      <c r="A190" s="6"/>
      <c r="F190" t="s">
        <v>17</v>
      </c>
      <c r="G190">
        <f t="shared" si="74"/>
        <v>4317</v>
      </c>
      <c r="H190">
        <v>2.9355000000000002</v>
      </c>
      <c r="I190">
        <v>1.28</v>
      </c>
      <c r="J190">
        <v>1</v>
      </c>
      <c r="K190">
        <f t="shared" si="75"/>
        <v>16220.868480000003</v>
      </c>
      <c r="L190">
        <v>200</v>
      </c>
      <c r="M190">
        <v>2.68</v>
      </c>
      <c r="N190">
        <f t="shared" si="76"/>
        <v>4.2254545454545456</v>
      </c>
      <c r="O190">
        <v>0</v>
      </c>
      <c r="P190">
        <v>0.85</v>
      </c>
      <c r="Q190">
        <v>2.62</v>
      </c>
      <c r="R190">
        <f t="shared" si="77"/>
        <v>3.2269999999999999</v>
      </c>
      <c r="S190">
        <v>1.05</v>
      </c>
      <c r="T190">
        <v>1.2</v>
      </c>
      <c r="U190">
        <f t="shared" si="78"/>
        <v>278687.21641269687</v>
      </c>
      <c r="V190" s="7"/>
    </row>
    <row r="191" spans="1:22" x14ac:dyDescent="0.3">
      <c r="A191" s="6"/>
      <c r="F191" t="s">
        <v>17</v>
      </c>
      <c r="G191">
        <f>3199+203+427</f>
        <v>3829</v>
      </c>
      <c r="H191">
        <v>2.9355000000000002</v>
      </c>
      <c r="I191">
        <v>1.28</v>
      </c>
      <c r="J191">
        <v>1</v>
      </c>
      <c r="K191">
        <f t="shared" si="75"/>
        <v>14387.237760000002</v>
      </c>
      <c r="L191">
        <v>200</v>
      </c>
      <c r="M191">
        <v>2.68</v>
      </c>
      <c r="N191">
        <f t="shared" si="76"/>
        <v>4.2254545454545456</v>
      </c>
      <c r="O191">
        <v>0</v>
      </c>
      <c r="P191">
        <v>0.85</v>
      </c>
      <c r="Q191">
        <v>2.82</v>
      </c>
      <c r="R191">
        <f t="shared" si="77"/>
        <v>3.3969999999999998</v>
      </c>
      <c r="S191">
        <v>1.05</v>
      </c>
      <c r="T191">
        <v>1.2</v>
      </c>
      <c r="U191">
        <f t="shared" si="78"/>
        <v>260205.78450739844</v>
      </c>
      <c r="V191" s="7"/>
    </row>
    <row r="192" spans="1:22" x14ac:dyDescent="0.3">
      <c r="A192" s="6"/>
      <c r="F192" t="s">
        <v>17</v>
      </c>
      <c r="G192">
        <f t="shared" ref="G192:G196" si="79">3199+203+427</f>
        <v>3829</v>
      </c>
      <c r="H192">
        <v>2.9355000000000002</v>
      </c>
      <c r="I192">
        <v>1.28</v>
      </c>
      <c r="J192">
        <v>1</v>
      </c>
      <c r="K192">
        <f t="shared" si="75"/>
        <v>14387.237760000002</v>
      </c>
      <c r="L192">
        <v>200</v>
      </c>
      <c r="M192">
        <v>2.68</v>
      </c>
      <c r="N192">
        <f t="shared" si="76"/>
        <v>4.2254545454545456</v>
      </c>
      <c r="O192">
        <v>0</v>
      </c>
      <c r="P192">
        <v>0.85</v>
      </c>
      <c r="Q192">
        <v>3.02</v>
      </c>
      <c r="R192">
        <f t="shared" si="77"/>
        <v>3.5669999999999997</v>
      </c>
      <c r="S192">
        <v>1.05</v>
      </c>
      <c r="T192">
        <v>1.2</v>
      </c>
      <c r="U192">
        <f t="shared" si="78"/>
        <v>273227.56353779521</v>
      </c>
      <c r="V192" s="7"/>
    </row>
    <row r="193" spans="1:22" x14ac:dyDescent="0.3">
      <c r="A193" s="6"/>
      <c r="F193" t="s">
        <v>58</v>
      </c>
      <c r="G193">
        <f t="shared" si="79"/>
        <v>3829</v>
      </c>
      <c r="H193">
        <v>1.875</v>
      </c>
      <c r="I193">
        <v>1.28</v>
      </c>
      <c r="J193">
        <v>1</v>
      </c>
      <c r="K193">
        <f t="shared" si="75"/>
        <v>9189.6</v>
      </c>
      <c r="L193">
        <v>200</v>
      </c>
      <c r="M193">
        <v>2.68</v>
      </c>
      <c r="N193">
        <f t="shared" si="76"/>
        <v>4.2254545454545456</v>
      </c>
      <c r="O193">
        <v>0</v>
      </c>
      <c r="P193">
        <v>0.85</v>
      </c>
      <c r="Q193">
        <v>2.2200000000000002</v>
      </c>
      <c r="R193">
        <f t="shared" si="77"/>
        <v>2.887</v>
      </c>
      <c r="S193">
        <v>1.05</v>
      </c>
      <c r="T193">
        <v>1.2</v>
      </c>
      <c r="U193">
        <f t="shared" si="78"/>
        <v>141249.64704663274</v>
      </c>
      <c r="V193" s="7"/>
    </row>
    <row r="194" spans="1:22" x14ac:dyDescent="0.3">
      <c r="A194" s="6"/>
      <c r="F194" t="s">
        <v>61</v>
      </c>
      <c r="G194">
        <f t="shared" si="79"/>
        <v>3829</v>
      </c>
      <c r="H194">
        <v>1.2</v>
      </c>
      <c r="I194">
        <v>1.28</v>
      </c>
      <c r="J194">
        <v>1</v>
      </c>
      <c r="K194">
        <f t="shared" si="75"/>
        <v>5881.3440000000001</v>
      </c>
      <c r="L194">
        <v>200</v>
      </c>
      <c r="M194">
        <v>2.68</v>
      </c>
      <c r="N194">
        <f t="shared" si="76"/>
        <v>4.2254545454545456</v>
      </c>
      <c r="O194">
        <v>0</v>
      </c>
      <c r="P194">
        <v>0.85</v>
      </c>
      <c r="Q194">
        <v>3.22</v>
      </c>
      <c r="R194">
        <f t="shared" si="77"/>
        <v>3.7370000000000001</v>
      </c>
      <c r="S194">
        <v>1.05</v>
      </c>
      <c r="T194">
        <v>1.2</v>
      </c>
      <c r="U194">
        <f t="shared" si="78"/>
        <v>117015.5718214377</v>
      </c>
      <c r="V194" s="7"/>
    </row>
    <row r="195" spans="1:22" x14ac:dyDescent="0.3">
      <c r="A195" s="6"/>
      <c r="F195" t="s">
        <v>17</v>
      </c>
      <c r="G195">
        <f t="shared" si="79"/>
        <v>3829</v>
      </c>
      <c r="H195">
        <v>2.9355000000000002</v>
      </c>
      <c r="I195">
        <v>1.28</v>
      </c>
      <c r="J195">
        <v>1</v>
      </c>
      <c r="K195">
        <f t="shared" si="75"/>
        <v>14387.237760000002</v>
      </c>
      <c r="L195">
        <v>200</v>
      </c>
      <c r="M195">
        <v>2.68</v>
      </c>
      <c r="N195">
        <f t="shared" si="76"/>
        <v>4.2254545454545456</v>
      </c>
      <c r="O195">
        <v>0</v>
      </c>
      <c r="P195">
        <v>0.85</v>
      </c>
      <c r="Q195">
        <v>3.22</v>
      </c>
      <c r="R195">
        <f t="shared" si="77"/>
        <v>3.7370000000000001</v>
      </c>
      <c r="S195">
        <v>1.05</v>
      </c>
      <c r="T195">
        <v>1.2</v>
      </c>
      <c r="U195">
        <f t="shared" si="78"/>
        <v>286249.34256819193</v>
      </c>
      <c r="V195" s="7"/>
    </row>
    <row r="196" spans="1:22" x14ac:dyDescent="0.3">
      <c r="A196" s="6"/>
      <c r="F196" t="s">
        <v>61</v>
      </c>
      <c r="G196">
        <f t="shared" si="79"/>
        <v>3829</v>
      </c>
      <c r="H196">
        <v>1.2</v>
      </c>
      <c r="I196">
        <v>1.28</v>
      </c>
      <c r="J196">
        <v>1</v>
      </c>
      <c r="K196">
        <f t="shared" si="75"/>
        <v>5881.3440000000001</v>
      </c>
      <c r="L196">
        <v>200</v>
      </c>
      <c r="M196">
        <v>2.68</v>
      </c>
      <c r="N196">
        <f t="shared" si="76"/>
        <v>4.2254545454545456</v>
      </c>
      <c r="O196">
        <v>0</v>
      </c>
      <c r="P196">
        <v>0.85</v>
      </c>
      <c r="Q196">
        <v>3.22</v>
      </c>
      <c r="R196">
        <f t="shared" si="77"/>
        <v>3.7370000000000001</v>
      </c>
      <c r="S196">
        <v>1.05</v>
      </c>
      <c r="T196">
        <v>1.2</v>
      </c>
      <c r="U196">
        <f t="shared" si="78"/>
        <v>117015.5718214377</v>
      </c>
      <c r="V196" s="7"/>
    </row>
    <row r="197" spans="1:22" x14ac:dyDescent="0.3">
      <c r="A197" s="6"/>
      <c r="F197" t="s">
        <v>17</v>
      </c>
      <c r="G197">
        <f>3199+427</f>
        <v>3626</v>
      </c>
      <c r="H197">
        <v>2.9355000000000002</v>
      </c>
      <c r="I197">
        <v>1.28</v>
      </c>
      <c r="J197">
        <v>1</v>
      </c>
      <c r="K197">
        <f t="shared" si="75"/>
        <v>13624.477440000002</v>
      </c>
      <c r="L197">
        <v>200</v>
      </c>
      <c r="M197">
        <v>2.1800000000000002</v>
      </c>
      <c r="N197">
        <f t="shared" si="76"/>
        <v>3.7254545454545456</v>
      </c>
      <c r="O197">
        <v>0</v>
      </c>
      <c r="P197">
        <v>0.85</v>
      </c>
      <c r="Q197">
        <v>3.22</v>
      </c>
      <c r="R197">
        <f t="shared" si="77"/>
        <v>3.7370000000000001</v>
      </c>
      <c r="S197">
        <v>1.05</v>
      </c>
      <c r="T197">
        <v>1.2</v>
      </c>
      <c r="U197">
        <f t="shared" si="78"/>
        <v>238997.17416050681</v>
      </c>
      <c r="V197" s="7"/>
    </row>
    <row r="198" spans="1:22" x14ac:dyDescent="0.3">
      <c r="A198" s="6"/>
      <c r="F198" t="s">
        <v>61</v>
      </c>
      <c r="G198">
        <f t="shared" ref="G198:G201" si="80">3199+427</f>
        <v>3626</v>
      </c>
      <c r="H198">
        <v>1.2</v>
      </c>
      <c r="I198">
        <v>1.28</v>
      </c>
      <c r="J198">
        <v>1</v>
      </c>
      <c r="K198">
        <f t="shared" si="75"/>
        <v>5569.5360000000001</v>
      </c>
      <c r="L198">
        <v>200</v>
      </c>
      <c r="M198">
        <v>2.1800000000000002</v>
      </c>
      <c r="N198">
        <f t="shared" si="76"/>
        <v>3.7254545454545456</v>
      </c>
      <c r="O198">
        <v>0</v>
      </c>
      <c r="P198">
        <v>0.85</v>
      </c>
      <c r="Q198">
        <v>3.22</v>
      </c>
      <c r="R198">
        <f t="shared" si="77"/>
        <v>3.7370000000000001</v>
      </c>
      <c r="S198">
        <v>1.05</v>
      </c>
      <c r="T198">
        <v>1.2</v>
      </c>
      <c r="U198">
        <f t="shared" si="78"/>
        <v>97699.406912828519</v>
      </c>
      <c r="V198" s="7"/>
    </row>
    <row r="199" spans="1:22" x14ac:dyDescent="0.3">
      <c r="A199" s="6"/>
      <c r="F199" t="s">
        <v>17</v>
      </c>
      <c r="G199">
        <f t="shared" si="80"/>
        <v>3626</v>
      </c>
      <c r="H199">
        <v>2.9355000000000002</v>
      </c>
      <c r="I199">
        <v>1.28</v>
      </c>
      <c r="J199">
        <v>1</v>
      </c>
      <c r="K199">
        <f t="shared" si="75"/>
        <v>13624.477440000002</v>
      </c>
      <c r="L199">
        <v>200</v>
      </c>
      <c r="M199">
        <v>2.1800000000000002</v>
      </c>
      <c r="N199">
        <f t="shared" si="76"/>
        <v>3.7254545454545456</v>
      </c>
      <c r="O199">
        <v>0</v>
      </c>
      <c r="P199">
        <v>0.85</v>
      </c>
      <c r="Q199">
        <v>3.22</v>
      </c>
      <c r="R199">
        <f t="shared" si="77"/>
        <v>3.7370000000000001</v>
      </c>
      <c r="S199">
        <v>1.05</v>
      </c>
      <c r="T199">
        <v>1.2</v>
      </c>
      <c r="U199">
        <f t="shared" si="78"/>
        <v>238997.17416050681</v>
      </c>
      <c r="V199" s="7"/>
    </row>
    <row r="200" spans="1:22" x14ac:dyDescent="0.3">
      <c r="A200" s="6"/>
      <c r="F200" t="s">
        <v>61</v>
      </c>
      <c r="G200">
        <f t="shared" si="80"/>
        <v>3626</v>
      </c>
      <c r="H200">
        <v>1.2</v>
      </c>
      <c r="I200">
        <v>1.28</v>
      </c>
      <c r="J200">
        <v>1</v>
      </c>
      <c r="K200">
        <f t="shared" si="75"/>
        <v>5569.5360000000001</v>
      </c>
      <c r="L200">
        <v>200</v>
      </c>
      <c r="M200">
        <v>2.1800000000000002</v>
      </c>
      <c r="N200">
        <f t="shared" si="76"/>
        <v>3.7254545454545456</v>
      </c>
      <c r="O200">
        <v>0</v>
      </c>
      <c r="P200">
        <v>0.85</v>
      </c>
      <c r="Q200">
        <v>3.22</v>
      </c>
      <c r="R200">
        <f t="shared" si="77"/>
        <v>3.7370000000000001</v>
      </c>
      <c r="S200">
        <v>1.05</v>
      </c>
      <c r="T200">
        <v>1.2</v>
      </c>
      <c r="U200">
        <f t="shared" si="78"/>
        <v>97699.406912828519</v>
      </c>
      <c r="V200" s="7"/>
    </row>
    <row r="201" spans="1:22" x14ac:dyDescent="0.3">
      <c r="A201" s="6"/>
      <c r="F201" s="6" t="s">
        <v>19</v>
      </c>
      <c r="G201">
        <f t="shared" si="80"/>
        <v>3626</v>
      </c>
      <c r="H201">
        <v>0.58320000000000005</v>
      </c>
      <c r="I201">
        <v>1.28</v>
      </c>
      <c r="J201">
        <v>4</v>
      </c>
      <c r="K201">
        <f t="shared" si="75"/>
        <v>10827.177984000002</v>
      </c>
      <c r="L201">
        <v>200</v>
      </c>
      <c r="M201">
        <v>2.1800000000000002</v>
      </c>
      <c r="N201">
        <f t="shared" si="76"/>
        <v>3.7254545454545456</v>
      </c>
      <c r="O201">
        <v>0</v>
      </c>
      <c r="P201">
        <v>0.85</v>
      </c>
      <c r="Q201">
        <v>2.2200000000000002</v>
      </c>
      <c r="R201">
        <f t="shared" si="77"/>
        <v>2.887</v>
      </c>
      <c r="S201">
        <v>1.05</v>
      </c>
      <c r="T201">
        <v>1.2</v>
      </c>
      <c r="U201">
        <f t="shared" si="78"/>
        <v>146727.62028371988</v>
      </c>
      <c r="V201" s="7"/>
    </row>
    <row r="202" spans="1:22" x14ac:dyDescent="0.3">
      <c r="A202" s="6"/>
      <c r="V202" s="7"/>
    </row>
    <row r="203" spans="1:22" x14ac:dyDescent="0.3">
      <c r="A203" s="6"/>
      <c r="G203" t="s">
        <v>1</v>
      </c>
      <c r="H203" t="s">
        <v>5</v>
      </c>
      <c r="I203" t="s">
        <v>7</v>
      </c>
      <c r="J203" t="s">
        <v>7</v>
      </c>
      <c r="K203" t="s">
        <v>8</v>
      </c>
      <c r="L203" t="s">
        <v>22</v>
      </c>
      <c r="M203" t="s">
        <v>0</v>
      </c>
      <c r="N203" t="s">
        <v>11</v>
      </c>
      <c r="O203" t="s">
        <v>12</v>
      </c>
      <c r="P203" t="s">
        <v>13</v>
      </c>
      <c r="Q203" t="s">
        <v>15</v>
      </c>
      <c r="R203" t="s">
        <v>23</v>
      </c>
      <c r="S203" t="s">
        <v>24</v>
      </c>
      <c r="T203" t="s">
        <v>16</v>
      </c>
      <c r="V203" s="7"/>
    </row>
    <row r="204" spans="1:22" x14ac:dyDescent="0.3">
      <c r="A204" s="6"/>
      <c r="G204">
        <f>G183</f>
        <v>4317</v>
      </c>
      <c r="H204">
        <v>1.03</v>
      </c>
      <c r="I204">
        <v>1</v>
      </c>
      <c r="J204">
        <v>1</v>
      </c>
      <c r="K204">
        <f>G204*H204*I204*J204</f>
        <v>4446.51</v>
      </c>
      <c r="L204">
        <v>1</v>
      </c>
      <c r="M204">
        <v>0.85</v>
      </c>
      <c r="N204">
        <v>2.2200000000000002</v>
      </c>
      <c r="O204">
        <f>1+M204*N204</f>
        <v>2.887</v>
      </c>
      <c r="P204">
        <v>1.25</v>
      </c>
      <c r="Q204">
        <f>K204*L204*O204*P204</f>
        <v>16046.342962500001</v>
      </c>
      <c r="R204">
        <v>18</v>
      </c>
      <c r="S204">
        <f>Q204*R204</f>
        <v>288834.17332500004</v>
      </c>
      <c r="T204">
        <f>SUM(S204:S210)</f>
        <v>607137.7141505701</v>
      </c>
      <c r="V204" s="7"/>
    </row>
    <row r="205" spans="1:22" x14ac:dyDescent="0.3">
      <c r="A205" s="6"/>
      <c r="G205">
        <f>G187</f>
        <v>4317</v>
      </c>
      <c r="H205">
        <v>1.8746</v>
      </c>
      <c r="I205">
        <v>3</v>
      </c>
      <c r="J205">
        <v>1</v>
      </c>
      <c r="K205">
        <f t="shared" ref="K205:K206" si="81">G205*H205*I205*J205</f>
        <v>24277.944600000003</v>
      </c>
      <c r="L205">
        <v>1</v>
      </c>
      <c r="M205">
        <v>0.85</v>
      </c>
      <c r="N205">
        <v>2.2200000000000002</v>
      </c>
      <c r="O205">
        <f t="shared" ref="O205:O206" si="82">1+M205*N205</f>
        <v>2.887</v>
      </c>
      <c r="P205">
        <v>1.25</v>
      </c>
      <c r="Q205">
        <f t="shared" ref="Q205:Q206" si="83">K205*L205*O205*P205</f>
        <v>87613.032575250021</v>
      </c>
      <c r="R205">
        <v>1</v>
      </c>
      <c r="S205">
        <f t="shared" ref="S205:S206" si="84">Q205*R205</f>
        <v>87613.032575250021</v>
      </c>
      <c r="V205" s="7"/>
    </row>
    <row r="206" spans="1:22" x14ac:dyDescent="0.3">
      <c r="A206" s="6"/>
      <c r="G206">
        <f>G188</f>
        <v>4317</v>
      </c>
      <c r="H206">
        <v>0.58320000000000005</v>
      </c>
      <c r="I206">
        <v>1</v>
      </c>
      <c r="J206">
        <v>1</v>
      </c>
      <c r="K206">
        <f t="shared" si="81"/>
        <v>2517.6744000000003</v>
      </c>
      <c r="L206">
        <v>1</v>
      </c>
      <c r="M206">
        <v>0.85</v>
      </c>
      <c r="N206">
        <v>2.2200000000000002</v>
      </c>
      <c r="O206">
        <f t="shared" si="82"/>
        <v>2.887</v>
      </c>
      <c r="P206">
        <v>1.25</v>
      </c>
      <c r="Q206">
        <f t="shared" si="83"/>
        <v>9085.6574910000018</v>
      </c>
      <c r="R206">
        <v>1</v>
      </c>
      <c r="S206">
        <f t="shared" si="84"/>
        <v>9085.6574910000018</v>
      </c>
      <c r="V206" s="7"/>
    </row>
    <row r="207" spans="1:22" x14ac:dyDescent="0.3">
      <c r="A207" s="6"/>
      <c r="G207">
        <f>G196</f>
        <v>3829</v>
      </c>
      <c r="H207">
        <v>1.03</v>
      </c>
      <c r="I207">
        <v>1</v>
      </c>
      <c r="J207">
        <v>1</v>
      </c>
      <c r="K207">
        <f>G207*H207*I207*J207</f>
        <v>3943.87</v>
      </c>
      <c r="L207">
        <v>1</v>
      </c>
      <c r="M207">
        <v>0.85</v>
      </c>
      <c r="N207">
        <v>2.2200000000000002</v>
      </c>
      <c r="O207">
        <f>1+M207*N207</f>
        <v>2.887</v>
      </c>
      <c r="P207">
        <v>1.05</v>
      </c>
      <c r="Q207">
        <f>K207*L207*O207*P207</f>
        <v>11955.250324500001</v>
      </c>
      <c r="R207">
        <v>18</v>
      </c>
      <c r="S207">
        <f>Q207*R207</f>
        <v>215194.50584100001</v>
      </c>
      <c r="V207" s="7"/>
    </row>
    <row r="208" spans="1:22" x14ac:dyDescent="0.3">
      <c r="A208" s="6"/>
      <c r="G208">
        <f>G201</f>
        <v>3626</v>
      </c>
      <c r="H208">
        <v>0.58320000000000005</v>
      </c>
      <c r="I208">
        <v>1</v>
      </c>
      <c r="J208">
        <v>1</v>
      </c>
      <c r="K208">
        <f t="shared" ref="K208" si="85">G208*H208*I208*J208</f>
        <v>2114.6832000000004</v>
      </c>
      <c r="L208">
        <v>1</v>
      </c>
      <c r="M208">
        <v>0.85</v>
      </c>
      <c r="N208">
        <v>2.2200000000000002</v>
      </c>
      <c r="O208">
        <f t="shared" ref="O208" si="86">1+M208*N208</f>
        <v>2.887</v>
      </c>
      <c r="P208">
        <v>1.05</v>
      </c>
      <c r="Q208">
        <f t="shared" ref="Q208" si="87">K208*L208*O208*P208</f>
        <v>6410.3449183200019</v>
      </c>
      <c r="R208">
        <v>1</v>
      </c>
      <c r="S208">
        <f t="shared" ref="S208" si="88">Q208*R208</f>
        <v>6410.3449183200019</v>
      </c>
      <c r="V208" s="7"/>
    </row>
    <row r="209" spans="1:22" ht="14.5" thickBot="1" x14ac:dyDescent="0.35">
      <c r="A209" s="6"/>
      <c r="V209" s="7"/>
    </row>
    <row r="210" spans="1:22" x14ac:dyDescent="0.3">
      <c r="A210" s="6"/>
      <c r="F210" s="19" t="s">
        <v>3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1"/>
    </row>
    <row r="211" spans="1:22" x14ac:dyDescent="0.3">
      <c r="A211" s="6"/>
      <c r="F211" s="6" t="s">
        <v>4</v>
      </c>
      <c r="G211" t="s">
        <v>1</v>
      </c>
      <c r="H211" t="s">
        <v>5</v>
      </c>
      <c r="I211" t="s">
        <v>6</v>
      </c>
      <c r="J211" t="s">
        <v>7</v>
      </c>
      <c r="K211" t="s">
        <v>8</v>
      </c>
      <c r="L211" t="s">
        <v>2</v>
      </c>
      <c r="M211" t="s">
        <v>18</v>
      </c>
      <c r="N211" t="s">
        <v>9</v>
      </c>
      <c r="O211" t="s">
        <v>10</v>
      </c>
      <c r="P211" t="s">
        <v>0</v>
      </c>
      <c r="Q211" t="s">
        <v>11</v>
      </c>
      <c r="R211" t="s">
        <v>12</v>
      </c>
      <c r="S211" t="s">
        <v>13</v>
      </c>
      <c r="T211" t="s">
        <v>14</v>
      </c>
      <c r="U211" t="s">
        <v>15</v>
      </c>
      <c r="V211" s="7" t="s">
        <v>16</v>
      </c>
    </row>
    <row r="212" spans="1:22" x14ac:dyDescent="0.3">
      <c r="A212" s="6"/>
      <c r="F212" s="6" t="s">
        <v>32</v>
      </c>
      <c r="G212">
        <f>2604+396</f>
        <v>3000</v>
      </c>
      <c r="H212">
        <v>8.2554999999999996</v>
      </c>
      <c r="I212">
        <v>1.28</v>
      </c>
      <c r="J212">
        <v>1.3</v>
      </c>
      <c r="K212">
        <f>G212*H212*I212*J212</f>
        <v>41211.455999999998</v>
      </c>
      <c r="L212">
        <v>20</v>
      </c>
      <c r="M212">
        <v>1.4</v>
      </c>
      <c r="N212">
        <f>1+6*L212/(L212+2000)+M212</f>
        <v>2.4594059405940594</v>
      </c>
      <c r="O212">
        <v>0</v>
      </c>
      <c r="P212">
        <v>0.93</v>
      </c>
      <c r="Q212">
        <v>2.2999999999999998</v>
      </c>
      <c r="R212">
        <f>1+P212*Q212</f>
        <v>3.1389999999999998</v>
      </c>
      <c r="S212">
        <v>1.05</v>
      </c>
      <c r="T212">
        <v>1</v>
      </c>
      <c r="U212">
        <f>(K212*N212+O212)*R212*S212*T212</f>
        <v>334063.31844905816</v>
      </c>
      <c r="V212" s="7">
        <f>SUM(U212:U222)</f>
        <v>934626.28882764501</v>
      </c>
    </row>
    <row r="213" spans="1:22" x14ac:dyDescent="0.3">
      <c r="A213" s="6"/>
      <c r="F213" s="6"/>
      <c r="G213">
        <f>2604+396</f>
        <v>3000</v>
      </c>
      <c r="H213">
        <v>4.5</v>
      </c>
      <c r="I213">
        <v>2.2799999999999998</v>
      </c>
      <c r="J213">
        <v>1.3</v>
      </c>
      <c r="K213">
        <f>G213*H213*I213*J213</f>
        <v>40014</v>
      </c>
      <c r="L213">
        <v>20</v>
      </c>
      <c r="M213">
        <v>1.4</v>
      </c>
      <c r="N213">
        <f>1+6*L213/(L213+2000)+M213</f>
        <v>2.4594059405940594</v>
      </c>
      <c r="O213">
        <v>0</v>
      </c>
      <c r="P213">
        <v>0.93</v>
      </c>
      <c r="Q213">
        <v>2.2999999999999998</v>
      </c>
      <c r="R213">
        <f>1+P213*Q213</f>
        <v>3.1389999999999998</v>
      </c>
      <c r="S213">
        <v>1.05</v>
      </c>
      <c r="T213">
        <v>1</v>
      </c>
      <c r="U213">
        <f>(K213*N213+O213)*R213*S213*T213</f>
        <v>324356.64550217823</v>
      </c>
      <c r="V213" s="7"/>
    </row>
    <row r="214" spans="1:22" x14ac:dyDescent="0.3">
      <c r="A214" s="6"/>
      <c r="F214" s="6" t="s">
        <v>33</v>
      </c>
      <c r="G214">
        <f>189+2604+264</f>
        <v>3057</v>
      </c>
      <c r="H214">
        <v>0.72950000000000004</v>
      </c>
      <c r="I214">
        <v>1.28</v>
      </c>
      <c r="J214">
        <v>1.3</v>
      </c>
      <c r="K214">
        <f t="shared" ref="K214:K222" si="89">G214*H214*I214*J214</f>
        <v>3710.8556160000007</v>
      </c>
      <c r="L214">
        <v>20</v>
      </c>
      <c r="M214">
        <v>1.6</v>
      </c>
      <c r="N214">
        <f t="shared" ref="N214:N222" si="90">1+6*L214/(L214+2000)+M214</f>
        <v>2.6594059405940595</v>
      </c>
      <c r="O214">
        <v>0</v>
      </c>
      <c r="P214">
        <v>0.93</v>
      </c>
      <c r="Q214">
        <v>2.2999999999999998</v>
      </c>
      <c r="R214">
        <f t="shared" ref="R214:R222" si="91">1+P214*Q214</f>
        <v>3.1389999999999998</v>
      </c>
      <c r="S214">
        <v>1.05</v>
      </c>
      <c r="T214">
        <v>1</v>
      </c>
      <c r="U214">
        <f t="shared" ref="U214:U222" si="92">(K214*N214+O214)*R214*S214*T214</f>
        <v>32526.647731141857</v>
      </c>
      <c r="V214" s="7"/>
    </row>
    <row r="215" spans="1:22" x14ac:dyDescent="0.3">
      <c r="A215" s="6"/>
      <c r="F215" s="6" t="s">
        <v>34</v>
      </c>
      <c r="G215">
        <f t="shared" ref="G215:G221" si="93">189+2604</f>
        <v>2793</v>
      </c>
      <c r="H215">
        <v>0.87239999999999995</v>
      </c>
      <c r="I215">
        <v>1.28</v>
      </c>
      <c r="J215">
        <f t="shared" ref="J215:J221" si="94">17*0.015+1</f>
        <v>1.2549999999999999</v>
      </c>
      <c r="K215">
        <f t="shared" si="89"/>
        <v>3914.175444479999</v>
      </c>
      <c r="L215">
        <v>20</v>
      </c>
      <c r="M215">
        <v>1.3</v>
      </c>
      <c r="N215">
        <f t="shared" si="90"/>
        <v>2.3594059405940593</v>
      </c>
      <c r="O215">
        <v>0</v>
      </c>
      <c r="P215">
        <v>0.93</v>
      </c>
      <c r="Q215">
        <v>2.2999999999999998</v>
      </c>
      <c r="R215">
        <f t="shared" si="91"/>
        <v>3.1389999999999998</v>
      </c>
      <c r="S215">
        <v>1.25</v>
      </c>
      <c r="T215">
        <v>1</v>
      </c>
      <c r="U215">
        <f t="shared" si="92"/>
        <v>36236.336614221203</v>
      </c>
      <c r="V215" s="7"/>
    </row>
    <row r="216" spans="1:22" x14ac:dyDescent="0.3">
      <c r="A216" s="6"/>
      <c r="F216" s="6" t="s">
        <v>35</v>
      </c>
      <c r="G216">
        <f t="shared" si="93"/>
        <v>2793</v>
      </c>
      <c r="H216">
        <v>0.72950000000000004</v>
      </c>
      <c r="I216">
        <v>1.28</v>
      </c>
      <c r="J216">
        <f t="shared" si="94"/>
        <v>1.2549999999999999</v>
      </c>
      <c r="K216">
        <f t="shared" si="89"/>
        <v>3273.0295584</v>
      </c>
      <c r="L216">
        <v>20</v>
      </c>
      <c r="M216">
        <v>1.3</v>
      </c>
      <c r="N216">
        <f t="shared" si="90"/>
        <v>2.3594059405940593</v>
      </c>
      <c r="O216">
        <v>0</v>
      </c>
      <c r="P216">
        <v>0.93</v>
      </c>
      <c r="Q216">
        <v>2.2999999999999998</v>
      </c>
      <c r="R216">
        <f t="shared" si="91"/>
        <v>3.1389999999999998</v>
      </c>
      <c r="S216">
        <v>1.25</v>
      </c>
      <c r="T216">
        <v>1</v>
      </c>
      <c r="U216">
        <f t="shared" si="92"/>
        <v>30300.788124798688</v>
      </c>
      <c r="V216" s="7"/>
    </row>
    <row r="217" spans="1:22" x14ac:dyDescent="0.3">
      <c r="A217" s="6"/>
      <c r="F217" s="6" t="s">
        <v>36</v>
      </c>
      <c r="G217">
        <f t="shared" si="93"/>
        <v>2793</v>
      </c>
      <c r="H217">
        <v>0.87239999999999995</v>
      </c>
      <c r="I217">
        <v>1.28</v>
      </c>
      <c r="J217">
        <f t="shared" si="94"/>
        <v>1.2549999999999999</v>
      </c>
      <c r="K217">
        <f t="shared" si="89"/>
        <v>3914.175444479999</v>
      </c>
      <c r="L217">
        <v>20</v>
      </c>
      <c r="M217">
        <v>1.3</v>
      </c>
      <c r="N217">
        <f t="shared" si="90"/>
        <v>2.3594059405940593</v>
      </c>
      <c r="O217">
        <v>0</v>
      </c>
      <c r="P217">
        <v>0.93</v>
      </c>
      <c r="Q217">
        <v>2.2999999999999998</v>
      </c>
      <c r="R217">
        <f t="shared" si="91"/>
        <v>3.1389999999999998</v>
      </c>
      <c r="S217">
        <v>1.25</v>
      </c>
      <c r="T217">
        <v>1</v>
      </c>
      <c r="U217">
        <f t="shared" si="92"/>
        <v>36236.336614221203</v>
      </c>
      <c r="V217" s="7"/>
    </row>
    <row r="218" spans="1:22" x14ac:dyDescent="0.3">
      <c r="A218" s="6"/>
      <c r="F218" s="6" t="s">
        <v>37</v>
      </c>
      <c r="G218">
        <f t="shared" si="93"/>
        <v>2793</v>
      </c>
      <c r="H218">
        <v>0.72950000000000004</v>
      </c>
      <c r="I218">
        <v>1.28</v>
      </c>
      <c r="J218">
        <f t="shared" si="94"/>
        <v>1.2549999999999999</v>
      </c>
      <c r="K218">
        <f t="shared" si="89"/>
        <v>3273.0295584</v>
      </c>
      <c r="L218">
        <v>20</v>
      </c>
      <c r="M218">
        <v>1.3</v>
      </c>
      <c r="N218">
        <f t="shared" si="90"/>
        <v>2.3594059405940593</v>
      </c>
      <c r="O218">
        <v>0</v>
      </c>
      <c r="P218">
        <v>0.93</v>
      </c>
      <c r="Q218">
        <v>2.2999999999999998</v>
      </c>
      <c r="R218">
        <f t="shared" si="91"/>
        <v>3.1389999999999998</v>
      </c>
      <c r="S218">
        <v>1.25</v>
      </c>
      <c r="T218">
        <v>1</v>
      </c>
      <c r="U218">
        <f t="shared" si="92"/>
        <v>30300.788124798688</v>
      </c>
      <c r="V218" s="7"/>
    </row>
    <row r="219" spans="1:22" x14ac:dyDescent="0.3">
      <c r="A219" s="6"/>
      <c r="F219" s="6" t="s">
        <v>38</v>
      </c>
      <c r="G219">
        <f t="shared" si="93"/>
        <v>2793</v>
      </c>
      <c r="H219">
        <v>0.87239999999999995</v>
      </c>
      <c r="I219">
        <v>1.28</v>
      </c>
      <c r="J219">
        <f t="shared" si="94"/>
        <v>1.2549999999999999</v>
      </c>
      <c r="K219">
        <f t="shared" si="89"/>
        <v>3914.175444479999</v>
      </c>
      <c r="L219">
        <v>20</v>
      </c>
      <c r="M219">
        <v>1.3</v>
      </c>
      <c r="N219">
        <f t="shared" si="90"/>
        <v>2.3594059405940593</v>
      </c>
      <c r="O219">
        <v>0</v>
      </c>
      <c r="P219">
        <v>0.93</v>
      </c>
      <c r="Q219">
        <v>2.2999999999999998</v>
      </c>
      <c r="R219">
        <f t="shared" si="91"/>
        <v>3.1389999999999998</v>
      </c>
      <c r="S219">
        <v>1.25</v>
      </c>
      <c r="T219">
        <v>1</v>
      </c>
      <c r="U219">
        <f t="shared" si="92"/>
        <v>36236.336614221203</v>
      </c>
      <c r="V219" s="7"/>
    </row>
    <row r="220" spans="1:22" x14ac:dyDescent="0.3">
      <c r="A220" s="6"/>
      <c r="F220" s="6" t="s">
        <v>39</v>
      </c>
      <c r="G220">
        <f t="shared" si="93"/>
        <v>2793</v>
      </c>
      <c r="H220">
        <v>0.72950000000000004</v>
      </c>
      <c r="I220">
        <v>1.28</v>
      </c>
      <c r="J220">
        <f t="shared" si="94"/>
        <v>1.2549999999999999</v>
      </c>
      <c r="K220">
        <f t="shared" si="89"/>
        <v>3273.0295584</v>
      </c>
      <c r="L220">
        <v>20</v>
      </c>
      <c r="M220">
        <v>1.3</v>
      </c>
      <c r="N220">
        <f t="shared" si="90"/>
        <v>2.3594059405940593</v>
      </c>
      <c r="O220">
        <v>0</v>
      </c>
      <c r="P220">
        <v>0.93</v>
      </c>
      <c r="Q220">
        <v>2.2999999999999998</v>
      </c>
      <c r="R220">
        <f t="shared" si="91"/>
        <v>3.1389999999999998</v>
      </c>
      <c r="S220">
        <v>1.05</v>
      </c>
      <c r="T220">
        <v>1</v>
      </c>
      <c r="U220">
        <f t="shared" si="92"/>
        <v>25452.662024830897</v>
      </c>
      <c r="V220" s="7"/>
    </row>
    <row r="221" spans="1:22" x14ac:dyDescent="0.3">
      <c r="A221" s="6"/>
      <c r="F221" s="6" t="s">
        <v>40</v>
      </c>
      <c r="G221">
        <f t="shared" si="93"/>
        <v>2793</v>
      </c>
      <c r="H221">
        <v>0.87239999999999995</v>
      </c>
      <c r="I221">
        <v>1.28</v>
      </c>
      <c r="J221">
        <f t="shared" si="94"/>
        <v>1.2549999999999999</v>
      </c>
      <c r="K221">
        <f t="shared" si="89"/>
        <v>3914.175444479999</v>
      </c>
      <c r="L221">
        <v>20</v>
      </c>
      <c r="M221">
        <v>1.3</v>
      </c>
      <c r="N221">
        <f t="shared" si="90"/>
        <v>2.3594059405940593</v>
      </c>
      <c r="O221">
        <v>0</v>
      </c>
      <c r="P221">
        <v>0.93</v>
      </c>
      <c r="Q221">
        <v>2.2999999999999998</v>
      </c>
      <c r="R221">
        <f t="shared" si="91"/>
        <v>3.1389999999999998</v>
      </c>
      <c r="S221">
        <v>1.05</v>
      </c>
      <c r="T221">
        <v>1</v>
      </c>
      <c r="U221">
        <f t="shared" si="92"/>
        <v>30438.522755945814</v>
      </c>
      <c r="V221" s="7"/>
    </row>
    <row r="222" spans="1:22" x14ac:dyDescent="0.3">
      <c r="A222" s="6"/>
      <c r="F222" s="6" t="s">
        <v>41</v>
      </c>
      <c r="G222">
        <v>2604</v>
      </c>
      <c r="H222">
        <v>0.72950000000000004</v>
      </c>
      <c r="I222">
        <v>1.28</v>
      </c>
      <c r="J222">
        <v>1.24</v>
      </c>
      <c r="K222">
        <f t="shared" si="89"/>
        <v>3015.0736896000003</v>
      </c>
      <c r="L222">
        <v>20</v>
      </c>
      <c r="M222">
        <v>0.8</v>
      </c>
      <c r="N222">
        <f t="shared" si="90"/>
        <v>1.8594059405940595</v>
      </c>
      <c r="O222">
        <v>0</v>
      </c>
      <c r="P222">
        <v>0.93</v>
      </c>
      <c r="Q222">
        <v>2.2999999999999998</v>
      </c>
      <c r="R222">
        <f t="shared" si="91"/>
        <v>3.1389999999999998</v>
      </c>
      <c r="S222">
        <v>1.05</v>
      </c>
      <c r="T222">
        <v>1</v>
      </c>
      <c r="U222">
        <f t="shared" si="92"/>
        <v>18477.906272229025</v>
      </c>
      <c r="V222" s="7"/>
    </row>
    <row r="223" spans="1:22" x14ac:dyDescent="0.3">
      <c r="A223" s="6"/>
      <c r="F223" s="6"/>
      <c r="V223" s="7"/>
    </row>
    <row r="224" spans="1:22" x14ac:dyDescent="0.3">
      <c r="A224" s="6"/>
      <c r="F224" s="6"/>
      <c r="G224" t="s">
        <v>1</v>
      </c>
      <c r="H224" t="s">
        <v>5</v>
      </c>
      <c r="I224" t="s">
        <v>7</v>
      </c>
      <c r="J224" t="s">
        <v>7</v>
      </c>
      <c r="K224" t="s">
        <v>8</v>
      </c>
      <c r="L224" t="s">
        <v>22</v>
      </c>
      <c r="M224" t="s">
        <v>0</v>
      </c>
      <c r="N224" t="s">
        <v>11</v>
      </c>
      <c r="O224" t="s">
        <v>12</v>
      </c>
      <c r="P224" t="s">
        <v>13</v>
      </c>
      <c r="Q224" t="s">
        <v>15</v>
      </c>
      <c r="R224" t="s">
        <v>23</v>
      </c>
      <c r="S224" t="s">
        <v>24</v>
      </c>
      <c r="T224" t="s">
        <v>16</v>
      </c>
      <c r="V224" s="7"/>
    </row>
    <row r="225" spans="1:22" x14ac:dyDescent="0.3">
      <c r="A225" s="6"/>
      <c r="F225" s="6"/>
      <c r="G225">
        <f>G212</f>
        <v>3000</v>
      </c>
      <c r="H225">
        <v>1.9454</v>
      </c>
      <c r="I225">
        <v>1</v>
      </c>
      <c r="J225">
        <v>1</v>
      </c>
      <c r="K225">
        <f>G225*H225*I225*J225</f>
        <v>5836.2</v>
      </c>
      <c r="L225">
        <v>1</v>
      </c>
      <c r="M225">
        <v>0.93</v>
      </c>
      <c r="N225">
        <v>2.2999999999999998</v>
      </c>
      <c r="O225">
        <f>1+M225*N225</f>
        <v>3.1389999999999998</v>
      </c>
      <c r="P225">
        <v>1.05</v>
      </c>
      <c r="Q225">
        <f>K225*L225*O225*P225</f>
        <v>19235.823390000001</v>
      </c>
      <c r="R225">
        <v>1</v>
      </c>
      <c r="S225">
        <f>Q225*R225</f>
        <v>19235.823390000001</v>
      </c>
      <c r="T225">
        <f>SUM(S225:S226)</f>
        <v>162160.86755326501</v>
      </c>
      <c r="V225" s="7"/>
    </row>
    <row r="226" spans="1:22" ht="14.5" thickBot="1" x14ac:dyDescent="0.35">
      <c r="A226" s="6"/>
      <c r="F226" s="8"/>
      <c r="G226" s="9">
        <f>G217</f>
        <v>2793</v>
      </c>
      <c r="H226" s="9">
        <v>1.7251000000000001</v>
      </c>
      <c r="I226" s="9">
        <v>1</v>
      </c>
      <c r="J226" s="9">
        <v>1</v>
      </c>
      <c r="K226" s="9">
        <f>G226*H226*I226*J226</f>
        <v>4818.2043000000003</v>
      </c>
      <c r="L226" s="9">
        <v>1</v>
      </c>
      <c r="M226" s="9">
        <v>0.93</v>
      </c>
      <c r="N226" s="9">
        <v>2.2999999999999998</v>
      </c>
      <c r="O226" s="9">
        <f>1+M226*N226</f>
        <v>3.1389999999999998</v>
      </c>
      <c r="P226">
        <v>1.05</v>
      </c>
      <c r="Q226" s="9">
        <f>K226*L226*O226*P226</f>
        <v>15880.560462584999</v>
      </c>
      <c r="R226" s="9">
        <v>9</v>
      </c>
      <c r="S226" s="9">
        <f>Q226*R226</f>
        <v>142925.044163265</v>
      </c>
      <c r="T226" s="9"/>
      <c r="U226" s="9"/>
      <c r="V226" s="10"/>
    </row>
    <row r="227" spans="1:22" x14ac:dyDescent="0.3">
      <c r="A227" s="6"/>
      <c r="V227" s="7"/>
    </row>
    <row r="228" spans="1:22" ht="14.5" thickBot="1" x14ac:dyDescent="0.35">
      <c r="A228" s="6"/>
      <c r="F228" s="22" t="s">
        <v>53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7"/>
    </row>
    <row r="229" spans="1:22" x14ac:dyDescent="0.3">
      <c r="A229" s="6"/>
      <c r="F229" s="3"/>
      <c r="G229" s="4" t="s">
        <v>42</v>
      </c>
      <c r="H229" s="4" t="s">
        <v>43</v>
      </c>
      <c r="I229" s="4" t="s">
        <v>6</v>
      </c>
      <c r="J229" s="4" t="s">
        <v>2</v>
      </c>
      <c r="K229" s="4" t="s">
        <v>18</v>
      </c>
      <c r="L229" s="4" t="s">
        <v>9</v>
      </c>
      <c r="M229" s="4" t="s">
        <v>0</v>
      </c>
      <c r="N229" s="4" t="s">
        <v>11</v>
      </c>
      <c r="O229" s="4" t="s">
        <v>12</v>
      </c>
      <c r="P229" s="4" t="s">
        <v>13</v>
      </c>
      <c r="Q229" s="4" t="s">
        <v>14</v>
      </c>
      <c r="R229" s="4" t="s">
        <v>48</v>
      </c>
      <c r="S229" s="4" t="s">
        <v>49</v>
      </c>
      <c r="T229" s="4" t="s">
        <v>51</v>
      </c>
      <c r="U229" s="5" t="s">
        <v>16</v>
      </c>
      <c r="V229" s="7"/>
    </row>
    <row r="230" spans="1:22" x14ac:dyDescent="0.3">
      <c r="A230" s="6"/>
      <c r="F230" s="6" t="s">
        <v>44</v>
      </c>
      <c r="G230">
        <v>1446.85</v>
      </c>
      <c r="H230">
        <v>2</v>
      </c>
      <c r="I230">
        <v>1.28</v>
      </c>
      <c r="J230">
        <v>200</v>
      </c>
      <c r="K230">
        <v>2.38</v>
      </c>
      <c r="L230">
        <f>1+6*J230/(J230+2000)+K230</f>
        <v>3.9254545454545453</v>
      </c>
      <c r="M230">
        <v>0.85</v>
      </c>
      <c r="N230">
        <v>2.2200000000000002</v>
      </c>
      <c r="O230">
        <f>1+M230*N230</f>
        <v>2.887</v>
      </c>
      <c r="P230">
        <v>1.25</v>
      </c>
      <c r="Q230">
        <v>1.2</v>
      </c>
      <c r="R230">
        <v>0.6</v>
      </c>
      <c r="S230">
        <f>G230*H230*I230*L230*O230*P230*Q230*R230</f>
        <v>37778.326883816721</v>
      </c>
      <c r="T230">
        <v>2</v>
      </c>
      <c r="U230" s="7">
        <f>T232*T230</f>
        <v>93177.747433835408</v>
      </c>
      <c r="V230" s="7"/>
    </row>
    <row r="231" spans="1:22" x14ac:dyDescent="0.3">
      <c r="A231" s="6"/>
      <c r="F231" s="6" t="s">
        <v>45</v>
      </c>
      <c r="G231">
        <v>1446.85</v>
      </c>
      <c r="H231">
        <v>2</v>
      </c>
      <c r="I231">
        <v>1.28</v>
      </c>
      <c r="J231">
        <v>0</v>
      </c>
      <c r="K231">
        <v>1.9</v>
      </c>
      <c r="L231">
        <f t="shared" ref="L231:L233" si="95">1+6*J231/(J231+2000)+K231</f>
        <v>2.9</v>
      </c>
      <c r="M231">
        <v>0.5</v>
      </c>
      <c r="N231">
        <v>1.5</v>
      </c>
      <c r="O231">
        <f t="shared" ref="O231:O233" si="96">1+M231*N231</f>
        <v>1.75</v>
      </c>
      <c r="P231">
        <v>1.05</v>
      </c>
      <c r="Q231">
        <v>1</v>
      </c>
      <c r="R231">
        <v>0.3</v>
      </c>
      <c r="S231">
        <f t="shared" ref="S231:S233" si="97">G231*H231*I231*L231*O231*P231*Q231*R231</f>
        <v>5921.2046880000007</v>
      </c>
      <c r="T231" t="s">
        <v>15</v>
      </c>
      <c r="U231" s="7"/>
      <c r="V231" s="7"/>
    </row>
    <row r="232" spans="1:22" x14ac:dyDescent="0.3">
      <c r="A232" s="6"/>
      <c r="F232" s="6" t="s">
        <v>46</v>
      </c>
      <c r="G232">
        <v>1446.85</v>
      </c>
      <c r="H232">
        <v>2</v>
      </c>
      <c r="I232">
        <v>1.28</v>
      </c>
      <c r="J232">
        <v>20</v>
      </c>
      <c r="K232">
        <v>1.3</v>
      </c>
      <c r="L232">
        <f t="shared" si="95"/>
        <v>2.3594059405940593</v>
      </c>
      <c r="M232">
        <v>0.93</v>
      </c>
      <c r="N232">
        <v>2.2999999999999998</v>
      </c>
      <c r="O232">
        <f t="shared" si="96"/>
        <v>3.1389999999999998</v>
      </c>
      <c r="P232">
        <v>1.25</v>
      </c>
      <c r="Q232">
        <v>1</v>
      </c>
      <c r="R232">
        <v>0.05</v>
      </c>
      <c r="S232">
        <f t="shared" si="97"/>
        <v>1714.4999451009896</v>
      </c>
      <c r="T232">
        <f>SUM(S230:S233)</f>
        <v>46588.873716917704</v>
      </c>
      <c r="U232" s="7"/>
      <c r="V232" s="7"/>
    </row>
    <row r="233" spans="1:22" x14ac:dyDescent="0.3">
      <c r="A233" s="6"/>
      <c r="F233" s="6" t="s">
        <v>47</v>
      </c>
      <c r="G233">
        <v>1446.85</v>
      </c>
      <c r="H233">
        <v>2</v>
      </c>
      <c r="I233">
        <v>1.28</v>
      </c>
      <c r="J233">
        <v>0</v>
      </c>
      <c r="K233">
        <v>1.9</v>
      </c>
      <c r="L233">
        <f t="shared" si="95"/>
        <v>2.9</v>
      </c>
      <c r="M233">
        <v>0.5</v>
      </c>
      <c r="N233">
        <v>1.5</v>
      </c>
      <c r="O233">
        <f t="shared" si="96"/>
        <v>1.75</v>
      </c>
      <c r="P233">
        <v>1.25</v>
      </c>
      <c r="Q233">
        <v>1</v>
      </c>
      <c r="R233">
        <v>0.05</v>
      </c>
      <c r="S233">
        <f t="shared" si="97"/>
        <v>1174.8422</v>
      </c>
      <c r="U233" s="7"/>
      <c r="V233" s="7"/>
    </row>
    <row r="234" spans="1:22" x14ac:dyDescent="0.3">
      <c r="A234" s="6"/>
      <c r="F234" s="6"/>
      <c r="U234" s="7"/>
      <c r="V234" s="7"/>
    </row>
    <row r="235" spans="1:22" x14ac:dyDescent="0.3">
      <c r="A235" s="6"/>
      <c r="F235" s="6"/>
      <c r="G235" t="s">
        <v>42</v>
      </c>
      <c r="H235" t="s">
        <v>43</v>
      </c>
      <c r="I235" t="s">
        <v>6</v>
      </c>
      <c r="J235" t="s">
        <v>2</v>
      </c>
      <c r="K235" t="s">
        <v>18</v>
      </c>
      <c r="L235" t="s">
        <v>9</v>
      </c>
      <c r="M235" t="s">
        <v>0</v>
      </c>
      <c r="N235" t="s">
        <v>11</v>
      </c>
      <c r="O235" t="s">
        <v>12</v>
      </c>
      <c r="P235" t="s">
        <v>13</v>
      </c>
      <c r="Q235" t="s">
        <v>14</v>
      </c>
      <c r="R235" t="s">
        <v>48</v>
      </c>
      <c r="S235" t="s">
        <v>49</v>
      </c>
      <c r="T235" t="s">
        <v>51</v>
      </c>
      <c r="U235" s="7" t="s">
        <v>16</v>
      </c>
      <c r="V235" s="7"/>
    </row>
    <row r="236" spans="1:22" x14ac:dyDescent="0.3">
      <c r="A236" s="6"/>
      <c r="F236" s="6" t="s">
        <v>44</v>
      </c>
      <c r="G236">
        <v>1446.85</v>
      </c>
      <c r="H236">
        <v>2</v>
      </c>
      <c r="I236">
        <v>1.28</v>
      </c>
      <c r="J236">
        <v>200</v>
      </c>
      <c r="K236">
        <v>2.38</v>
      </c>
      <c r="L236">
        <f>1+6*J236/(J236+2000)+K236</f>
        <v>3.9254545454545453</v>
      </c>
      <c r="M236">
        <v>0.85</v>
      </c>
      <c r="N236">
        <v>2.2200000000000002</v>
      </c>
      <c r="O236">
        <f>1+M236*N236</f>
        <v>2.887</v>
      </c>
      <c r="P236">
        <v>1.05</v>
      </c>
      <c r="Q236">
        <v>1.2</v>
      </c>
      <c r="R236">
        <v>0.6</v>
      </c>
      <c r="S236">
        <f>G236*H236*I236*L236*O236*P236*Q236*R236</f>
        <v>31733.794582406048</v>
      </c>
      <c r="T236">
        <v>2</v>
      </c>
      <c r="U236" s="7">
        <f>T238*T236</f>
        <v>80164.09334458175</v>
      </c>
      <c r="V236" s="7"/>
    </row>
    <row r="237" spans="1:22" x14ac:dyDescent="0.3">
      <c r="A237" s="6"/>
      <c r="F237" s="6" t="s">
        <v>45</v>
      </c>
      <c r="G237">
        <v>1446.85</v>
      </c>
      <c r="H237">
        <v>2</v>
      </c>
      <c r="I237">
        <v>1.28</v>
      </c>
      <c r="J237">
        <v>0</v>
      </c>
      <c r="K237">
        <v>1.9</v>
      </c>
      <c r="L237">
        <f t="shared" ref="L237:L239" si="98">1+6*J237/(J237+2000)+K237</f>
        <v>2.9</v>
      </c>
      <c r="M237">
        <v>0.5</v>
      </c>
      <c r="N237">
        <v>1.5</v>
      </c>
      <c r="O237">
        <f t="shared" ref="O237:O239" si="99">1+M237*N237</f>
        <v>1.75</v>
      </c>
      <c r="P237">
        <v>1.05</v>
      </c>
      <c r="Q237">
        <v>1</v>
      </c>
      <c r="R237">
        <v>0.3</v>
      </c>
      <c r="S237">
        <f t="shared" ref="S237:S239" si="100">G237*H237*I237*L237*O237*P237*Q237*R237</f>
        <v>5921.2046880000007</v>
      </c>
      <c r="T237" t="s">
        <v>15</v>
      </c>
      <c r="U237" s="7"/>
      <c r="V237" s="7"/>
    </row>
    <row r="238" spans="1:22" x14ac:dyDescent="0.3">
      <c r="A238" s="6"/>
      <c r="F238" s="6" t="s">
        <v>46</v>
      </c>
      <c r="G238">
        <v>1446.85</v>
      </c>
      <c r="H238">
        <v>2</v>
      </c>
      <c r="I238">
        <v>1.28</v>
      </c>
      <c r="J238">
        <v>20</v>
      </c>
      <c r="K238">
        <v>1.3</v>
      </c>
      <c r="L238">
        <f t="shared" si="98"/>
        <v>2.3594059405940593</v>
      </c>
      <c r="M238">
        <v>0.93</v>
      </c>
      <c r="N238">
        <v>2.2999999999999998</v>
      </c>
      <c r="O238">
        <f t="shared" si="99"/>
        <v>3.1389999999999998</v>
      </c>
      <c r="P238">
        <v>1.05</v>
      </c>
      <c r="Q238">
        <v>1</v>
      </c>
      <c r="R238">
        <v>0.05</v>
      </c>
      <c r="S238">
        <f t="shared" si="100"/>
        <v>1440.1799538848315</v>
      </c>
      <c r="T238">
        <f>SUM(S236:S239)</f>
        <v>40082.046672290875</v>
      </c>
      <c r="U238" s="7"/>
      <c r="V238" s="7"/>
    </row>
    <row r="239" spans="1:22" ht="14.5" thickBot="1" x14ac:dyDescent="0.35">
      <c r="A239" s="6"/>
      <c r="F239" s="8" t="s">
        <v>47</v>
      </c>
      <c r="G239" s="9">
        <v>1446.85</v>
      </c>
      <c r="H239" s="9">
        <v>2</v>
      </c>
      <c r="I239" s="9">
        <v>1.28</v>
      </c>
      <c r="J239" s="9">
        <v>0</v>
      </c>
      <c r="K239">
        <v>1.9</v>
      </c>
      <c r="L239" s="9">
        <f t="shared" si="98"/>
        <v>2.9</v>
      </c>
      <c r="M239">
        <v>0.5</v>
      </c>
      <c r="N239" s="9">
        <v>1.5</v>
      </c>
      <c r="O239" s="9">
        <f t="shared" si="99"/>
        <v>1.75</v>
      </c>
      <c r="P239">
        <v>1.05</v>
      </c>
      <c r="Q239" s="9">
        <v>1</v>
      </c>
      <c r="R239" s="9">
        <v>0.05</v>
      </c>
      <c r="S239" s="9">
        <f t="shared" si="100"/>
        <v>986.86744800000019</v>
      </c>
      <c r="T239" s="9"/>
      <c r="U239" s="10"/>
      <c r="V239" s="7"/>
    </row>
    <row r="240" spans="1:22" ht="14.5" thickBot="1" x14ac:dyDescent="0.35">
      <c r="A240" s="6"/>
      <c r="F240" s="23" t="s">
        <v>54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7"/>
    </row>
    <row r="241" spans="1:22" x14ac:dyDescent="0.3">
      <c r="A241" s="6"/>
      <c r="F241" s="3"/>
      <c r="G241" s="4" t="s">
        <v>42</v>
      </c>
      <c r="H241" s="4" t="s">
        <v>52</v>
      </c>
      <c r="I241" s="4" t="s">
        <v>6</v>
      </c>
      <c r="J241" s="4" t="s">
        <v>2</v>
      </c>
      <c r="K241" s="4" t="s">
        <v>18</v>
      </c>
      <c r="L241" s="4" t="s">
        <v>9</v>
      </c>
      <c r="M241" s="4" t="s">
        <v>0</v>
      </c>
      <c r="N241" s="4" t="s">
        <v>11</v>
      </c>
      <c r="O241" s="4" t="s">
        <v>12</v>
      </c>
      <c r="P241" s="4" t="s">
        <v>13</v>
      </c>
      <c r="Q241" s="4" t="s">
        <v>14</v>
      </c>
      <c r="R241" s="4" t="s">
        <v>48</v>
      </c>
      <c r="S241" s="4" t="s">
        <v>49</v>
      </c>
      <c r="T241" s="4" t="s">
        <v>51</v>
      </c>
      <c r="U241" s="5" t="s">
        <v>16</v>
      </c>
      <c r="V241" s="7"/>
    </row>
    <row r="242" spans="1:22" x14ac:dyDescent="0.3">
      <c r="A242" s="6"/>
      <c r="F242" s="6" t="s">
        <v>44</v>
      </c>
      <c r="G242">
        <v>1446.85</v>
      </c>
      <c r="H242">
        <v>0.75</v>
      </c>
      <c r="I242">
        <v>1.28</v>
      </c>
      <c r="J242">
        <v>0</v>
      </c>
      <c r="K242">
        <v>1.9</v>
      </c>
      <c r="L242">
        <f t="shared" ref="L242" si="101">1+6*J242/(J242+2000)+K242</f>
        <v>2.9</v>
      </c>
      <c r="M242">
        <v>0.5</v>
      </c>
      <c r="N242">
        <v>1.5</v>
      </c>
      <c r="O242">
        <f t="shared" ref="O242" si="102">1+M242*N242</f>
        <v>1.75</v>
      </c>
      <c r="P242">
        <v>1.05</v>
      </c>
      <c r="Q242">
        <v>1</v>
      </c>
      <c r="R242">
        <v>0.6</v>
      </c>
      <c r="S242">
        <f>G242*H242*I242*L242*O242*P242*Q242*R242</f>
        <v>4440.9035159999994</v>
      </c>
      <c r="T242">
        <v>4</v>
      </c>
      <c r="U242" s="7">
        <f>T244*T242</f>
        <v>50431.372444514018</v>
      </c>
      <c r="V242" s="7"/>
    </row>
    <row r="243" spans="1:22" x14ac:dyDescent="0.3">
      <c r="A243" s="6"/>
      <c r="F243" s="6" t="s">
        <v>45</v>
      </c>
      <c r="G243">
        <v>1446.85</v>
      </c>
      <c r="H243">
        <v>0.75</v>
      </c>
      <c r="I243">
        <v>1.28</v>
      </c>
      <c r="J243">
        <v>200</v>
      </c>
      <c r="K243">
        <v>2.38</v>
      </c>
      <c r="L243">
        <f>1+6*J243/(J243+2000)+K243</f>
        <v>3.9254545454545453</v>
      </c>
      <c r="M243">
        <v>0.85</v>
      </c>
      <c r="N243">
        <v>2.2200000000000002</v>
      </c>
      <c r="O243">
        <f>1+M243*N243</f>
        <v>2.887</v>
      </c>
      <c r="P243">
        <v>1.25</v>
      </c>
      <c r="Q243">
        <v>1.2</v>
      </c>
      <c r="R243">
        <v>0.3</v>
      </c>
      <c r="S243">
        <f t="shared" ref="S243:S245" si="103">G243*H243*I243*L243*O243*P243*Q243*R243</f>
        <v>7083.4362907156346</v>
      </c>
      <c r="T243" t="s">
        <v>15</v>
      </c>
      <c r="U243" s="7"/>
      <c r="V243" s="7"/>
    </row>
    <row r="244" spans="1:22" x14ac:dyDescent="0.3">
      <c r="A244" s="6"/>
      <c r="F244" s="6" t="s">
        <v>46</v>
      </c>
      <c r="G244">
        <v>1446.85</v>
      </c>
      <c r="H244">
        <v>0.75</v>
      </c>
      <c r="I244">
        <v>1.28</v>
      </c>
      <c r="J244">
        <v>20</v>
      </c>
      <c r="K244">
        <v>1.3</v>
      </c>
      <c r="L244">
        <f t="shared" ref="L244:L245" si="104">1+6*J244/(J244+2000)+K244</f>
        <v>2.3594059405940593</v>
      </c>
      <c r="M244">
        <v>0.93</v>
      </c>
      <c r="N244">
        <v>2.2999999999999998</v>
      </c>
      <c r="O244">
        <f t="shared" ref="O244:O245" si="105">1+M244*N244</f>
        <v>3.1389999999999998</v>
      </c>
      <c r="P244">
        <v>1.25</v>
      </c>
      <c r="Q244">
        <v>1</v>
      </c>
      <c r="R244">
        <v>0.05</v>
      </c>
      <c r="S244">
        <f t="shared" si="103"/>
        <v>642.9374794128712</v>
      </c>
      <c r="T244">
        <f>SUM(S242:S245)</f>
        <v>12607.843111128504</v>
      </c>
      <c r="U244" s="7"/>
      <c r="V244" s="7"/>
    </row>
    <row r="245" spans="1:22" x14ac:dyDescent="0.3">
      <c r="A245" s="6"/>
      <c r="F245" s="6" t="s">
        <v>47</v>
      </c>
      <c r="G245">
        <v>1446.85</v>
      </c>
      <c r="H245">
        <v>0.75</v>
      </c>
      <c r="I245">
        <v>1.28</v>
      </c>
      <c r="J245">
        <v>0</v>
      </c>
      <c r="K245">
        <v>1.9</v>
      </c>
      <c r="L245">
        <f t="shared" si="104"/>
        <v>2.9</v>
      </c>
      <c r="M245">
        <v>0.5</v>
      </c>
      <c r="N245">
        <v>1.5</v>
      </c>
      <c r="O245">
        <f t="shared" si="105"/>
        <v>1.75</v>
      </c>
      <c r="P245">
        <v>1.25</v>
      </c>
      <c r="Q245">
        <v>1</v>
      </c>
      <c r="R245">
        <v>0.05</v>
      </c>
      <c r="S245">
        <f t="shared" si="103"/>
        <v>440.56582499999996</v>
      </c>
      <c r="U245" s="7"/>
      <c r="V245" s="7"/>
    </row>
    <row r="246" spans="1:22" x14ac:dyDescent="0.3">
      <c r="A246" s="6"/>
      <c r="F246" s="6"/>
      <c r="U246" s="7"/>
      <c r="V246" s="7"/>
    </row>
    <row r="247" spans="1:22" x14ac:dyDescent="0.3">
      <c r="A247" s="6"/>
      <c r="F247" s="6"/>
      <c r="G247" t="s">
        <v>42</v>
      </c>
      <c r="H247" t="s">
        <v>52</v>
      </c>
      <c r="I247" t="s">
        <v>6</v>
      </c>
      <c r="J247" t="s">
        <v>2</v>
      </c>
      <c r="K247" t="s">
        <v>18</v>
      </c>
      <c r="L247" t="s">
        <v>9</v>
      </c>
      <c r="M247" t="s">
        <v>0</v>
      </c>
      <c r="N247" t="s">
        <v>11</v>
      </c>
      <c r="O247" t="s">
        <v>12</v>
      </c>
      <c r="P247" t="s">
        <v>13</v>
      </c>
      <c r="Q247" t="s">
        <v>14</v>
      </c>
      <c r="R247" t="s">
        <v>48</v>
      </c>
      <c r="S247" t="s">
        <v>49</v>
      </c>
      <c r="T247" t="s">
        <v>51</v>
      </c>
      <c r="U247" s="7" t="s">
        <v>16</v>
      </c>
      <c r="V247" s="7"/>
    </row>
    <row r="248" spans="1:22" x14ac:dyDescent="0.3">
      <c r="A248" s="6"/>
      <c r="F248" s="6" t="s">
        <v>44</v>
      </c>
      <c r="G248">
        <v>1446.85</v>
      </c>
      <c r="H248">
        <v>0.75</v>
      </c>
      <c r="I248">
        <v>1.28</v>
      </c>
      <c r="J248">
        <v>0</v>
      </c>
      <c r="K248">
        <v>1.9</v>
      </c>
      <c r="L248">
        <f t="shared" ref="L248" si="106">1+6*J248/(J248+2000)+K248</f>
        <v>2.9</v>
      </c>
      <c r="M248">
        <v>0.5</v>
      </c>
      <c r="N248">
        <v>1.5</v>
      </c>
      <c r="O248">
        <f t="shared" ref="O248" si="107">1+M248*N248</f>
        <v>1.75</v>
      </c>
      <c r="P248">
        <v>1.05</v>
      </c>
      <c r="Q248">
        <v>1</v>
      </c>
      <c r="R248">
        <v>0.6</v>
      </c>
      <c r="S248">
        <f>G248*H248*I248*L248*O248*P248*Q248*R248</f>
        <v>4440.9035159999994</v>
      </c>
      <c r="T248">
        <v>2</v>
      </c>
      <c r="U248" s="7">
        <f>T250*T248</f>
        <v>22948.986609228006</v>
      </c>
      <c r="V248" s="7"/>
    </row>
    <row r="249" spans="1:22" x14ac:dyDescent="0.3">
      <c r="A249" s="6"/>
      <c r="F249" s="6" t="s">
        <v>45</v>
      </c>
      <c r="G249">
        <v>1446.85</v>
      </c>
      <c r="H249">
        <v>0.75</v>
      </c>
      <c r="I249">
        <v>1.28</v>
      </c>
      <c r="J249">
        <v>200</v>
      </c>
      <c r="K249">
        <v>2.38</v>
      </c>
      <c r="L249">
        <f>1+6*J249/(J249+2000)+K249</f>
        <v>3.9254545454545453</v>
      </c>
      <c r="M249">
        <v>0.85</v>
      </c>
      <c r="N249">
        <v>2.2200000000000002</v>
      </c>
      <c r="O249">
        <f>1+M249*N249</f>
        <v>2.887</v>
      </c>
      <c r="P249">
        <v>1.05</v>
      </c>
      <c r="Q249">
        <v>1.2</v>
      </c>
      <c r="R249">
        <v>0.3</v>
      </c>
      <c r="S249">
        <f t="shared" ref="S249:S251" si="108">G249*H249*I249*L249*O249*P249*Q249*R249</f>
        <v>5950.0864842011333</v>
      </c>
      <c r="T249" t="s">
        <v>15</v>
      </c>
      <c r="U249" s="7"/>
      <c r="V249" s="7"/>
    </row>
    <row r="250" spans="1:22" x14ac:dyDescent="0.3">
      <c r="A250" s="6"/>
      <c r="F250" s="6" t="s">
        <v>46</v>
      </c>
      <c r="G250">
        <v>1446.85</v>
      </c>
      <c r="H250">
        <v>0.75</v>
      </c>
      <c r="I250">
        <v>1.28</v>
      </c>
      <c r="J250">
        <v>20</v>
      </c>
      <c r="K250">
        <v>1.3</v>
      </c>
      <c r="L250">
        <f t="shared" ref="L250:L251" si="109">1+6*J250/(J250+2000)+K250</f>
        <v>2.3594059405940593</v>
      </c>
      <c r="M250">
        <v>0.93</v>
      </c>
      <c r="N250">
        <v>2.2999999999999998</v>
      </c>
      <c r="O250">
        <f t="shared" ref="O250:O251" si="110">1+M250*N250</f>
        <v>3.1389999999999998</v>
      </c>
      <c r="P250">
        <v>1.25</v>
      </c>
      <c r="Q250">
        <v>1</v>
      </c>
      <c r="R250">
        <v>0.05</v>
      </c>
      <c r="S250">
        <f t="shared" si="108"/>
        <v>642.9374794128712</v>
      </c>
      <c r="T250">
        <f>SUM(S248:S251)</f>
        <v>11474.493304614003</v>
      </c>
      <c r="U250" s="7"/>
      <c r="V250" s="7"/>
    </row>
    <row r="251" spans="1:22" ht="14.5" thickBot="1" x14ac:dyDescent="0.35">
      <c r="A251" s="8"/>
      <c r="B251" s="9"/>
      <c r="C251" s="9"/>
      <c r="D251" s="9"/>
      <c r="E251" s="9"/>
      <c r="F251" s="8" t="s">
        <v>47</v>
      </c>
      <c r="G251" s="9">
        <v>1446.85</v>
      </c>
      <c r="H251" s="9">
        <v>0.75</v>
      </c>
      <c r="I251" s="9">
        <v>1.28</v>
      </c>
      <c r="J251" s="9">
        <v>0</v>
      </c>
      <c r="K251" s="9">
        <v>1.9</v>
      </c>
      <c r="L251" s="9">
        <f t="shared" si="109"/>
        <v>2.9</v>
      </c>
      <c r="M251" s="9">
        <v>0.5</v>
      </c>
      <c r="N251" s="9">
        <v>1.5</v>
      </c>
      <c r="O251" s="9">
        <f t="shared" si="110"/>
        <v>1.75</v>
      </c>
      <c r="P251" s="9">
        <v>1.25</v>
      </c>
      <c r="Q251" s="9">
        <v>1</v>
      </c>
      <c r="R251" s="9">
        <v>0.05</v>
      </c>
      <c r="S251" s="9">
        <f t="shared" si="108"/>
        <v>440.56582499999996</v>
      </c>
      <c r="T251" s="9"/>
      <c r="U251" s="10"/>
      <c r="V251" s="10"/>
    </row>
  </sheetData>
  <mergeCells count="15">
    <mergeCell ref="A1:D1"/>
    <mergeCell ref="F37:V37"/>
    <mergeCell ref="F54:U54"/>
    <mergeCell ref="F66:U66"/>
    <mergeCell ref="A2:A9"/>
    <mergeCell ref="A90:D90"/>
    <mergeCell ref="A91:A98"/>
    <mergeCell ref="F126:V126"/>
    <mergeCell ref="F144:U144"/>
    <mergeCell ref="F156:U156"/>
    <mergeCell ref="A174:D174"/>
    <mergeCell ref="A175:A182"/>
    <mergeCell ref="F210:V210"/>
    <mergeCell ref="F228:U228"/>
    <mergeCell ref="F240:U2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总表</vt:lpstr>
      <vt:lpstr>0＋1桑0奥</vt:lpstr>
      <vt:lpstr>1+1桑0奥</vt:lpstr>
      <vt:lpstr>2+1桑0奥 </vt:lpstr>
      <vt:lpstr>3+1桑0奥 </vt:lpstr>
      <vt:lpstr>4+1桑0奥 </vt:lpstr>
      <vt:lpstr>5+1桑0奥 </vt:lpstr>
      <vt:lpstr>6+1桑0奥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MECHREVO</dc:creator>
  <cp:lastModifiedBy>A55008</cp:lastModifiedBy>
  <dcterms:created xsi:type="dcterms:W3CDTF">2015-06-05T18:19:34Z</dcterms:created>
  <dcterms:modified xsi:type="dcterms:W3CDTF">2026-07-30T06:35:09Z</dcterms:modified>
</cp:coreProperties>
</file>